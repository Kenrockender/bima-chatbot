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I:\Product Marketing\Product Management\51. Product Research\Product BCA Life Existing\2. Safety Guard Critical Cover (STAR)\"/>
    </mc:Choice>
  </mc:AlternateContent>
  <xr:revisionPtr revIDLastSave="0" documentId="13_ncr:1_{AA8B1176-D37A-4E44-9985-49370C5E4871}" xr6:coauthVersionLast="47" xr6:coauthVersionMax="47" xr10:uidLastSave="{00000000-0000-0000-0000-000000000000}"/>
  <bookViews>
    <workbookView xWindow="-110" yWindow="-110" windowWidth="22620" windowHeight="13500" xr2:uid="{D1BAD6B5-7ADC-4F0E-86B4-EE2EA0C92AC7}"/>
  </bookViews>
  <sheets>
    <sheet name="STAR vs Allianz Critical Plus" sheetId="1" r:id="rId1"/>
    <sheet name="STAR vs Proteksi Prima Kritis" sheetId="2" r:id="rId2"/>
    <sheet name="STAR vs Zurich CI" sheetId="4" r:id="rId3"/>
    <sheet name="STAR vs Zurich CI (2)" sheetId="5" r:id="rId4"/>
    <sheet name="STAR vs ASLI" sheetId="6" r:id="rId5"/>
    <sheet name="Rate STAR"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1" l="1"/>
  <c r="I15" i="6"/>
  <c r="I12" i="6"/>
  <c r="I20" i="6" s="1"/>
  <c r="H12" i="6"/>
  <c r="I9" i="6" l="1"/>
  <c r="I26" i="6" s="1"/>
  <c r="H15" i="6"/>
  <c r="H25" i="5"/>
  <c r="I25" i="5"/>
  <c r="H15" i="5"/>
  <c r="I15" i="5" s="1"/>
  <c r="I12" i="5"/>
  <c r="I21" i="5" s="1"/>
  <c r="H12" i="5"/>
  <c r="I9" i="5"/>
  <c r="I31" i="5" s="1"/>
  <c r="F38" i="3"/>
  <c r="H24" i="1"/>
  <c r="D38" i="3"/>
  <c r="I25" i="4"/>
  <c r="I27" i="2"/>
  <c r="D43" i="3"/>
  <c r="D65" i="3"/>
  <c r="D44" i="3"/>
  <c r="D45" i="3"/>
  <c r="D46" i="3"/>
  <c r="D47" i="3"/>
  <c r="D48" i="3"/>
  <c r="D49" i="3"/>
  <c r="D50" i="3"/>
  <c r="D51" i="3"/>
  <c r="D52" i="3"/>
  <c r="D53" i="3"/>
  <c r="D54" i="3"/>
  <c r="D55" i="3"/>
  <c r="D56" i="3"/>
  <c r="D57" i="3"/>
  <c r="D58" i="3"/>
  <c r="D59" i="3"/>
  <c r="D60" i="3"/>
  <c r="D61" i="3"/>
  <c r="D62" i="3"/>
  <c r="D63" i="3"/>
  <c r="E63" i="3"/>
  <c r="E62" i="3"/>
  <c r="E61" i="3"/>
  <c r="E60" i="3"/>
  <c r="E59" i="3"/>
  <c r="H23" i="2"/>
  <c r="I12" i="4"/>
  <c r="E39" i="3"/>
  <c r="E40" i="3"/>
  <c r="E41" i="3"/>
  <c r="E42" i="3"/>
  <c r="E43" i="3"/>
  <c r="E44" i="3"/>
  <c r="E45" i="3"/>
  <c r="E46" i="3"/>
  <c r="E47" i="3"/>
  <c r="E48" i="3"/>
  <c r="E49" i="3"/>
  <c r="E50" i="3"/>
  <c r="E51" i="3"/>
  <c r="E52" i="3"/>
  <c r="E53" i="3"/>
  <c r="E54" i="3"/>
  <c r="E55" i="3"/>
  <c r="E56" i="3"/>
  <c r="E57" i="3"/>
  <c r="E58" i="3"/>
  <c r="E38" i="3"/>
  <c r="H15" i="4"/>
  <c r="I15" i="4" s="1"/>
  <c r="I21" i="4" s="1"/>
  <c r="H12" i="4"/>
  <c r="I9" i="4"/>
  <c r="I31" i="4" s="1"/>
  <c r="I9" i="2"/>
  <c r="I34" i="2" s="1"/>
  <c r="I9" i="1"/>
  <c r="I35" i="1" s="1"/>
  <c r="H15" i="2"/>
  <c r="I15" i="2" s="1"/>
  <c r="H12" i="2"/>
  <c r="H15" i="1"/>
  <c r="I15" i="1" s="1"/>
  <c r="I12" i="1"/>
  <c r="I24" i="1" s="1"/>
  <c r="H12" i="1"/>
  <c r="H27" i="2" l="1"/>
  <c r="H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tc={571C4063-5327-45A0-BFAC-AC46EADBC937}</author>
    <author>tc={19018EFD-4BE2-403B-B3C5-B41CC26A0E72}</author>
    <author>tc={3D4E61B9-8D0E-4F6F-AD22-D9A2242E437C}</author>
    <author>tc={09515E00-7944-4ADD-AAF5-F52A939E026C}</author>
  </authors>
  <commentList>
    <comment ref="H7" authorId="0" shapeId="0" xr:uid="{571C4063-5327-45A0-BFAC-AC46EADBC937}">
      <text>
        <t>[Threaded comment]
Your version of Excel allows you to read this threaded comment; however, any edits to it will get removed if the file is opened in a newer version of Excel. Learn more: https://go.microsoft.com/fwlink/?linkid=870924
Comment:
    Premi awal</t>
      </text>
    </comment>
    <comment ref="I28" authorId="1" shapeId="0" xr:uid="{19018EFD-4BE2-403B-B3C5-B41CC26A0E72}">
      <text>
        <t>[Threaded comment]
Your version of Excel allows you to read this threaded comment; however, any edits to it will get removed if the file is opened in a newer version of Excel. Learn more: https://go.microsoft.com/fwlink/?linkid=870924
Comment:
    Secara benefit Manfaat Meninggal Dunia produk STAR lebih unggul apabila terjadi di tahun polis awal, karena sebesar 100% UP. Sedangkan Allianz hanya sebesar 105% ROP</t>
      </text>
    </comment>
    <comment ref="C29" authorId="2" shapeId="0" xr:uid="{3D4E61B9-8D0E-4F6F-AD22-D9A2242E437C}">
      <text>
        <t>[Threaded comment]
Your version of Excel allows you to read this threaded comment; however, any edits to it will get removed if the file is opened in a newer version of Excel. Learn more: https://go.microsoft.com/fwlink/?linkid=870924
Comment:
    Lebih unggul karena angioplasty tidak mengurangi manfaat advanced CI</t>
      </text>
    </comment>
    <comment ref="C33" authorId="3" shapeId="0" xr:uid="{09515E00-7944-4ADD-AAF5-F52A939E026C}">
      <text>
        <t>[Threaded comment]
Your version of Excel allows you to read this threaded comment; however, any edits to it will get removed if the file is opened in a newer version of Excel. Learn more: https://go.microsoft.com/fwlink/?linkid=870924
Comment:
    Tidak dikurangi dengan manfaat2 lain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tc={C6E2B0A2-42D9-4E22-AAB2-381B832BB8B1}</author>
    <author>tc={2716D34C-DF2C-42B4-8C4F-893A87EA084C}</author>
    <author>tc={F9BE41EA-AEF9-4530-8E00-1651E8BA8F75}</author>
  </authors>
  <commentList>
    <comment ref="H8" authorId="0" shapeId="0" xr:uid="{C6E2B0A2-42D9-4E22-AAB2-381B832BB8B1}">
      <text>
        <t>[Threaded comment]
Your version of Excel allows you to read this threaded comment; however, any edits to it will get removed if the file is opened in a newer version of Excel. Learn more: https://go.microsoft.com/fwlink/?linkid=870924
Comment:
    Premi awal</t>
      </text>
    </comment>
    <comment ref="I23" authorId="1" shapeId="0" xr:uid="{2716D34C-DF2C-42B4-8C4F-893A87EA084C}">
      <text>
        <t>[Threaded comment]
Your version of Excel allows you to read this threaded comment; however, any edits to it will get removed if the file is opened in a newer version of Excel. Learn more: https://go.microsoft.com/fwlink/?linkid=870924
Comment:
    100% UP + 100% ROP. Pembayaran Manfaat ini pada manulife tidak dikurangi manfaat angioplasty, dan ICU</t>
      </text>
    </comment>
    <comment ref="I27" authorId="2" shapeId="0" xr:uid="{F9BE41EA-AEF9-4530-8E00-1651E8BA8F75}">
      <text>
        <t>[Threaded comment]
Your version of Excel allows you to read this threaded comment; however, any edits to it will get removed if the file is opened in a newer version of Excel. Learn more: https://go.microsoft.com/fwlink/?linkid=870924
Comment:
    Kalo MD sebelum ada klaim, STAR memungkinkan lebih tinggi</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tc={7A5A9F79-86C3-44D6-8AA6-A9E12C41697A}</author>
    <author>tc={C29681C6-2DFA-43AE-B315-C68E552852B5}</author>
    <author>tc={0078A084-BC55-4C26-BE89-D4E6ED6223B0}</author>
  </authors>
  <commentList>
    <comment ref="H25" authorId="0" shapeId="0" xr:uid="{7A5A9F79-86C3-44D6-8AA6-A9E12C41697A}">
      <text>
        <t>[Threaded comment]
Your version of Excel allows you to read this threaded comment; however, any edits to it will get removed if the file is opened in a newer version of Excel. Learn more: https://go.microsoft.com/fwlink/?linkid=870924
Comment:
    UP tidak mencukupi untuk membayar Manfaat MD, karena Manfaat MD dikurangi dengan Early CI, Angioplasty, dan ICU</t>
      </text>
    </comment>
    <comment ref="C41" authorId="1" shapeId="0" xr:uid="{C29681C6-2DFA-43AE-B315-C68E552852B5}">
      <text>
        <t>[Threaded comment]
Your version of Excel allows you to read this threaded comment; however, any edits to it will get removed if the file is opened in a newer version of Excel. Learn more: https://go.microsoft.com/fwlink/?linkid=870924
Comment:
    Polis tidak berakhir setelah manfaat advanced CI dibayarkan</t>
      </text>
    </comment>
    <comment ref="C45" authorId="2" shapeId="0" xr:uid="{0078A084-BC55-4C26-BE89-D4E6ED6223B0}">
      <text>
        <t xml:space="preserve">[Threaded comment]
Your version of Excel allows you to read this threaded comment; however, any edits to it will get removed if the file is opened in a newer version of Excel. Learn more: https://go.microsoft.com/fwlink/?linkid=870924
Comment:
    Tidak dikurangi manfaat yang telah dibayarkan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tc={FF5F91B7-E0D5-40F1-B126-CB3DF81B1648}</author>
    <author>tc={CDB183CD-E8F1-4C54-9FA3-2DF44C5B1AA5}</author>
    <author>tc={C7D4B3B0-7BCE-4FA2-9293-A83552C47135}</author>
  </authors>
  <commentList>
    <comment ref="H25" authorId="0" shapeId="0" xr:uid="{FF5F91B7-E0D5-40F1-B126-CB3DF81B1648}">
      <text>
        <t>[Threaded comment]
Your version of Excel allows you to read this threaded comment; however, any edits to it will get removed if the file is opened in a newer version of Excel. Learn more: https://go.microsoft.com/fwlink/?linkid=870924
Comment:
    UP tidak mencukupi untuk membayar Manfaat MD, karena Manfaat MD dikurangi dengan Early CI, Angioplasty, dan ICU</t>
      </text>
    </comment>
    <comment ref="C41" authorId="1" shapeId="0" xr:uid="{CDB183CD-E8F1-4C54-9FA3-2DF44C5B1AA5}">
      <text>
        <t>[Threaded comment]
Your version of Excel allows you to read this threaded comment; however, any edits to it will get removed if the file is opened in a newer version of Excel. Learn more: https://go.microsoft.com/fwlink/?linkid=870924
Comment:
    Polis tidak berakhir setelah manfaat advanced CI dibayarkan</t>
      </text>
    </comment>
    <comment ref="C45" authorId="2" shapeId="0" xr:uid="{C7D4B3B0-7BCE-4FA2-9293-A83552C47135}">
      <text>
        <t xml:space="preserve">[Threaded comment]
Your version of Excel allows you to read this threaded comment; however, any edits to it will get removed if the file is opened in a newer version of Excel. Learn more: https://go.microsoft.com/fwlink/?linkid=870924
Comment:
    Tidak dikurangi manfaat yang telah dibayarkan </t>
      </text>
    </comment>
  </commentList>
</comments>
</file>

<file path=xl/sharedStrings.xml><?xml version="1.0" encoding="utf-8"?>
<sst xmlns="http://schemas.openxmlformats.org/spreadsheetml/2006/main" count="543" uniqueCount="151">
  <si>
    <t>Perusahaan Asuransi</t>
  </si>
  <si>
    <t>Nama Produk</t>
  </si>
  <si>
    <t>Tipe Produk</t>
  </si>
  <si>
    <t>Jalur Distribusi</t>
  </si>
  <si>
    <t>Masa Pertanggungan</t>
  </si>
  <si>
    <t>Masa Pembayaran Premi</t>
  </si>
  <si>
    <t>Premi</t>
  </si>
  <si>
    <t>Uang Pertanggungan</t>
  </si>
  <si>
    <t>Usia Masuk</t>
  </si>
  <si>
    <t>Mata Uang</t>
  </si>
  <si>
    <t>Masa Tunggu</t>
  </si>
  <si>
    <t>Ketentuan UW</t>
  </si>
  <si>
    <t>BCA Life</t>
  </si>
  <si>
    <t>Allianz</t>
  </si>
  <si>
    <t>Safety  Guard Critical Cover (STAR)</t>
  </si>
  <si>
    <t>Allianz Critical Plus</t>
  </si>
  <si>
    <t>Kesehatan</t>
  </si>
  <si>
    <t>Bancassurance - In branch</t>
  </si>
  <si>
    <t>Agency</t>
  </si>
  <si>
    <t>1 tahun dan dapat diperpanjang otomatis hingga Tertanggung berusia 84 tahun</t>
  </si>
  <si>
    <t>1 - 65 tahun</t>
  </si>
  <si>
    <t>Rupiah</t>
  </si>
  <si>
    <t>YRT</t>
  </si>
  <si>
    <t>Min: Rp475.500/ bulan</t>
  </si>
  <si>
    <t>80 Hari</t>
  </si>
  <si>
    <t>Full UW</t>
  </si>
  <si>
    <t>Feature Comparison</t>
  </si>
  <si>
    <t>Benefit Comparison</t>
  </si>
  <si>
    <t>STAR</t>
  </si>
  <si>
    <t>Rider</t>
  </si>
  <si>
    <t>N/A</t>
  </si>
  <si>
    <t>20 tahun dan dapat diperpanjang otomatis tanpa seleksi risiko ulang, hingga Tertanggung berusia 90 tahun</t>
  </si>
  <si>
    <t>5,10,15 tahun (sesuai Usia Masuk)</t>
  </si>
  <si>
    <t>Min: Rp500 mio</t>
  </si>
  <si>
    <t>Maks: Rp2 bio</t>
  </si>
  <si>
    <t>MPP 5 tahun: 1 bulan - 60 tahun</t>
  </si>
  <si>
    <t>MPP 10 tahun: 1 bulan - 55 tahun</t>
  </si>
  <si>
    <t>MPP 15 tahun: 1 bulan - 50 tahun</t>
  </si>
  <si>
    <t>Rider Payor Early CI</t>
  </si>
  <si>
    <t>Manfaat Meninggal Dunia</t>
  </si>
  <si>
    <t>Manfaat Akhir Kontrak</t>
  </si>
  <si>
    <t>100% UP (dikurangi Manfaat Early CI, Angioplasty, ICU yang telah dibayarkan jika ada)</t>
  </si>
  <si>
    <t>Manfaat Perawatan ICU akibat Kritis yang dipertanggungkan</t>
  </si>
  <si>
    <t>50% UP atau Rp250 mio (mana yang lebih kecil)</t>
  </si>
  <si>
    <t>100% ROP (periode 10 tahunan, dan tidak ada klaim selama 10 tahun)</t>
  </si>
  <si>
    <t>100% ROP (selama Masa Asuransi atau Masa Asuransi yang diperpanjang)</t>
  </si>
  <si>
    <r>
      <t>Manfaat</t>
    </r>
    <r>
      <rPr>
        <b/>
        <i/>
        <sz val="11"/>
        <color theme="1"/>
        <rFont val="Aptos Narrow"/>
        <family val="2"/>
        <scheme val="minor"/>
      </rPr>
      <t xml:space="preserve"> Early Critical Illness</t>
    </r>
  </si>
  <si>
    <r>
      <t xml:space="preserve">Manfaat </t>
    </r>
    <r>
      <rPr>
        <b/>
        <i/>
        <sz val="11"/>
        <color theme="1"/>
        <rFont val="Aptos Narrow"/>
        <family val="2"/>
        <scheme val="minor"/>
      </rPr>
      <t>Advanced Critical Illness</t>
    </r>
  </si>
  <si>
    <r>
      <t xml:space="preserve">Manfaat </t>
    </r>
    <r>
      <rPr>
        <b/>
        <i/>
        <sz val="11"/>
        <color theme="1"/>
        <rFont val="Aptos Narrow"/>
        <family val="2"/>
        <scheme val="minor"/>
      </rPr>
      <t>Angioplasty</t>
    </r>
  </si>
  <si>
    <r>
      <t xml:space="preserve">Manfaat </t>
    </r>
    <r>
      <rPr>
        <b/>
        <i/>
        <sz val="11"/>
        <color theme="1"/>
        <rFont val="Aptos Narrow"/>
        <family val="2"/>
        <scheme val="minor"/>
      </rPr>
      <t>No Claim Bonus</t>
    </r>
  </si>
  <si>
    <t xml:space="preserve"> </t>
  </si>
  <si>
    <t>Premi per tahun</t>
  </si>
  <si>
    <t>35 tahun</t>
  </si>
  <si>
    <t>Jenis Kelamin</t>
  </si>
  <si>
    <t>Laki-laki</t>
  </si>
  <si>
    <t>Bapak A menderita kondisi kritis tahap awal pada Tahun Polis ke-2</t>
  </si>
  <si>
    <t>Tahun ke-1: Rp1.000.000.000</t>
  </si>
  <si>
    <t>Tahun ke-2 &amp; so on: Rp1.500.000.000</t>
  </si>
  <si>
    <t xml:space="preserve">Bapak A menjalani tindakan bedah Angioplasty pada Tahun Polis ke-4 </t>
  </si>
  <si>
    <t>Periode 10 Tahunan Pertama</t>
  </si>
  <si>
    <t>Periode 10 Tahunan Kedua</t>
  </si>
  <si>
    <t>Illustration &amp; Premium Comparison</t>
  </si>
  <si>
    <t>Bapak A menderita kondisi kritis tahap akhir pada Tahun Polis ke-11, selanjutnya Polis berakhir</t>
  </si>
  <si>
    <t>Manfaat Perawatan ICU akibat Kondisi Kritis yang dipertanggungkan</t>
  </si>
  <si>
    <t>Apabila Bapak A Meninggal Dunia pada Tahun Polis ke-11, selanjutnya Polis berakhir</t>
  </si>
  <si>
    <t>Bapak A dirawat inap ICU akibat kondisi kritis yang dipertanggungkan pada Tahun Polis ke-6</t>
  </si>
  <si>
    <t>Apabila Bapak A tidak pernah melakukan klaim pada Periode 10 Tahunan Kedua</t>
  </si>
  <si>
    <t>Benefit Scenarios</t>
  </si>
  <si>
    <r>
      <t xml:space="preserve">Manfaat </t>
    </r>
    <r>
      <rPr>
        <b/>
        <i/>
        <sz val="11"/>
        <color theme="1"/>
        <rFont val="Aptos Narrow"/>
        <family val="2"/>
        <scheme val="minor"/>
      </rPr>
      <t>Early Critical Illness</t>
    </r>
  </si>
  <si>
    <t>Manfaat Akhir Kontrak (pada akhir Tahun Polis ke-20)</t>
  </si>
  <si>
    <t>Apabila Bapak A masih hidup hingga akhir Masa Asuransi</t>
  </si>
  <si>
    <t>Usia</t>
  </si>
  <si>
    <t>Pria</t>
  </si>
  <si>
    <t>Wanita</t>
  </si>
  <si>
    <t>With NCB</t>
  </si>
  <si>
    <t>No Info</t>
  </si>
  <si>
    <t>Proteksi Prima Kritis Andalan</t>
  </si>
  <si>
    <t xml:space="preserve">Manulife </t>
  </si>
  <si>
    <t>Bancassurance (Bank Danamon)</t>
  </si>
  <si>
    <t>20 tahun</t>
  </si>
  <si>
    <t>5 atau 8 tahun</t>
  </si>
  <si>
    <t>Min. Rp 1.140.000/ bulan</t>
  </si>
  <si>
    <t>Min: Rp50 mio</t>
  </si>
  <si>
    <t>Maks: Rp10 bio</t>
  </si>
  <si>
    <t>30 hari - 60 tahun</t>
  </si>
  <si>
    <r>
      <rPr>
        <b/>
        <sz val="11"/>
        <color theme="1"/>
        <rFont val="Aptos Narrow"/>
        <family val="2"/>
        <scheme val="minor"/>
      </rPr>
      <t xml:space="preserve">SIO: </t>
    </r>
    <r>
      <rPr>
        <sz val="11"/>
        <color theme="1"/>
        <rFont val="Aptos Narrow"/>
        <family val="2"/>
        <scheme val="minor"/>
      </rPr>
      <t xml:space="preserve">
- Usia Tertanggung </t>
    </r>
    <r>
      <rPr>
        <sz val="11"/>
        <color theme="1"/>
        <rFont val="Aptos Narrow"/>
        <family val="2"/>
      </rPr>
      <t>≤ 55 tahun
- UP ≤ Rp 1 bio</t>
    </r>
  </si>
  <si>
    <r>
      <rPr>
        <b/>
        <sz val="11"/>
        <color theme="1"/>
        <rFont val="Aptos Narrow"/>
        <family val="2"/>
        <scheme val="minor"/>
      </rPr>
      <t>Full UW:</t>
    </r>
    <r>
      <rPr>
        <sz val="11"/>
        <color theme="1"/>
        <rFont val="Aptos Narrow"/>
        <family val="2"/>
        <scheme val="minor"/>
      </rPr>
      <t xml:space="preserve">
- Usia Tertanggung &gt; 55 tahun
- Seluruh Usia dengan UP &gt; Rp 1 bio</t>
    </r>
  </si>
  <si>
    <t>100% ROP</t>
  </si>
  <si>
    <t>50% UP atau Rp250 mio (mana yang lebih kecil)
- dibayarkan jika Tertanggung di ICU selama 7 Hari kontinu</t>
  </si>
  <si>
    <t>90 Hari</t>
  </si>
  <si>
    <t>40 tahun</t>
  </si>
  <si>
    <t>5 tahun</t>
  </si>
  <si>
    <t>Total Premi</t>
  </si>
  <si>
    <t>Zurich</t>
  </si>
  <si>
    <t>Zurich Critical Care</t>
  </si>
  <si>
    <t>1. Sampai Tertanggung mencapai Usia 85 tahun, atau
2. 20 tahun dan dapat diperpanjang hingga maks Usia berikut:</t>
  </si>
  <si>
    <t>3,5, atau 10 tahun</t>
  </si>
  <si>
    <t>Min: Rp360.000/bulan atau Rp 4 mio/ tahun</t>
  </si>
  <si>
    <t>Min: Rp100 mio</t>
  </si>
  <si>
    <t>Maks: Rp4 bio</t>
  </si>
  <si>
    <t xml:space="preserve">Min: 30 hari </t>
  </si>
  <si>
    <t xml:space="preserve">90 Hari </t>
  </si>
  <si>
    <t>Zurich Life Optima - Plan Smart</t>
  </si>
  <si>
    <t>Plan</t>
  </si>
  <si>
    <t>- Plan Essential : tidak terdapat Maturity Benefit
- Plan Pro: terdapat Maturity Benefit</t>
  </si>
  <si>
    <r>
      <t xml:space="preserve">25% UP 
Note:
- berlaku 2x dengan diagnosis Early CI berbeda, maks. 50% UP
- Bersifat </t>
    </r>
    <r>
      <rPr>
        <i/>
        <sz val="11"/>
        <color theme="1"/>
        <rFont val="Aptos Narrow"/>
        <family val="2"/>
        <scheme val="minor"/>
      </rPr>
      <t>accelerated</t>
    </r>
  </si>
  <si>
    <r>
      <t xml:space="preserve">25% UP 
Note:
- berlaku 2x dengan diagnosis Early CI berbeda, maks. 50% UP
- bersifat </t>
    </r>
    <r>
      <rPr>
        <i/>
        <sz val="11"/>
        <color theme="1"/>
        <rFont val="Aptos Narrow"/>
        <family val="2"/>
        <scheme val="minor"/>
      </rPr>
      <t>accelerated</t>
    </r>
  </si>
  <si>
    <t>100% UP dikurangi Early CI, Angioplasty &amp; ICU yang telah dibayarkan, selanjutnya Polis berakhir</t>
  </si>
  <si>
    <r>
      <t xml:space="preserve">Meninggal Dunia karena Penyakit: </t>
    </r>
    <r>
      <rPr>
        <sz val="11"/>
        <color theme="1"/>
        <rFont val="Aptos Narrow"/>
        <family val="2"/>
        <scheme val="minor"/>
      </rPr>
      <t>100% UP</t>
    </r>
    <r>
      <rPr>
        <b/>
        <sz val="11"/>
        <color theme="1"/>
        <rFont val="Aptos Narrow"/>
        <family val="2"/>
        <scheme val="minor"/>
      </rPr>
      <t xml:space="preserve">
Meninggal Dunia karena Kecelakaan: 
</t>
    </r>
    <r>
      <rPr>
        <sz val="11"/>
        <color theme="1"/>
        <rFont val="Aptos Narrow"/>
        <family val="2"/>
        <scheme val="minor"/>
      </rPr>
      <t xml:space="preserve">- 200% UP, jika tidak terdapat klaim Manfaat Advanced CI
- Rp10 mio, jika terdapat klaim Manfaat Advanced CI
</t>
    </r>
  </si>
  <si>
    <t>Plan Essential: Tidak tersedia
Plan Pro: 
Note: tidak mengurangi UP atas pembayaran Manfaat Early CI &amp; Angioplasty yang telah dibayarkan</t>
  </si>
  <si>
    <t>100% UP + 100% ROP 
apabila terdiagnosis salah satu dari 4 kondisi advanced CI yang dipertanggungkan, selanjutnya Polis berakhir</t>
  </si>
  <si>
    <t xml:space="preserve"> Bapak A menderita kondisi kritis tahap akhir pada Tahun Polis ke-11, selanjutnya Polis berakhir</t>
  </si>
  <si>
    <r>
      <t>25% UP maks. Rp250 mio (</t>
    </r>
    <r>
      <rPr>
        <i/>
        <sz val="11"/>
        <color theme="1"/>
        <rFont val="Aptos Narrow"/>
        <family val="2"/>
        <scheme val="minor"/>
      </rPr>
      <t>non accelerated</t>
    </r>
    <r>
      <rPr>
        <sz val="11"/>
        <color theme="1"/>
        <rFont val="Aptos Narrow"/>
        <family val="2"/>
        <scheme val="minor"/>
      </rPr>
      <t>)</t>
    </r>
  </si>
  <si>
    <r>
      <t xml:space="preserve">25% UP atau maks Rp250 mio (mana yang lebih kecil)
- dibayarkan jika Tertanggung di ICU selama 5 Hari kontinu
- </t>
    </r>
    <r>
      <rPr>
        <i/>
        <sz val="11"/>
        <color theme="1"/>
        <rFont val="Aptos Narrow"/>
        <family val="2"/>
        <scheme val="minor"/>
      </rPr>
      <t>non accelerated</t>
    </r>
  </si>
  <si>
    <t>15 tahun</t>
  </si>
  <si>
    <t>Bapak A menderita kondisi kritis tahap awal pada Tahun Polis ke-3</t>
  </si>
  <si>
    <r>
      <t xml:space="preserve">25% UP maks. Rp250 mio </t>
    </r>
    <r>
      <rPr>
        <i/>
        <sz val="11"/>
        <color theme="1"/>
        <rFont val="Aptos Narrow"/>
        <family val="2"/>
        <scheme val="minor"/>
      </rPr>
      <t>(accelerated)</t>
    </r>
  </si>
  <si>
    <r>
      <t xml:space="preserve">25% UP maks. Rp250 mio </t>
    </r>
    <r>
      <rPr>
        <i/>
        <sz val="11"/>
        <color theme="1"/>
        <rFont val="Aptos Narrow"/>
        <family val="2"/>
        <scheme val="minor"/>
      </rPr>
      <t>(non accelerated)</t>
    </r>
  </si>
  <si>
    <r>
      <t>25% UP maks. Rp250 mio (</t>
    </r>
    <r>
      <rPr>
        <i/>
        <sz val="11"/>
        <color theme="1"/>
        <rFont val="Aptos Narrow"/>
        <family val="2"/>
        <scheme val="minor"/>
      </rPr>
      <t>accelerated)</t>
    </r>
  </si>
  <si>
    <r>
      <t xml:space="preserve">25% UP dengan Maks. Rp 1 bio
Note: 
- Hanya berlaku 1x selama Masa Asuransi
- Bersifat </t>
    </r>
    <r>
      <rPr>
        <i/>
        <sz val="11"/>
        <color theme="1"/>
        <rFont val="Aptos Narrow"/>
        <family val="2"/>
        <scheme val="minor"/>
      </rPr>
      <t>accelerated</t>
    </r>
    <r>
      <rPr>
        <sz val="11"/>
        <color theme="1"/>
        <rFont val="Aptos Narrow"/>
        <family val="2"/>
        <scheme val="minor"/>
      </rPr>
      <t xml:space="preserve">
</t>
    </r>
  </si>
  <si>
    <t>Min. Rp250.000/ bulan</t>
  </si>
  <si>
    <r>
      <t xml:space="preserve">25% UP  (58 Minor CI)
Note:
- berlaku 2x dengan diagnosis Early CI berbeda, maks. 50% UP
- Bersifat </t>
    </r>
    <r>
      <rPr>
        <i/>
        <sz val="11"/>
        <color theme="1"/>
        <rFont val="Aptos Narrow"/>
        <family val="2"/>
        <scheme val="minor"/>
      </rPr>
      <t>accelerated</t>
    </r>
  </si>
  <si>
    <t>100% UP dikurangi Early CI, Angioplasty &amp; ICU yang telah dibayarkan, selanjutnya Polis berakhir (77Major CI)</t>
  </si>
  <si>
    <r>
      <t xml:space="preserve">Kelemahan STAR:
</t>
    </r>
    <r>
      <rPr>
        <sz val="11"/>
        <color theme="1"/>
        <rFont val="Aptos Narrow"/>
        <family val="2"/>
        <scheme val="minor"/>
      </rPr>
      <t>- Allianz memiliki fitur Booster UP, yaitu sebesar 50% UP</t>
    </r>
    <r>
      <rPr>
        <b/>
        <sz val="11"/>
        <color theme="1"/>
        <rFont val="Aptos Narrow"/>
        <family val="2"/>
        <scheme val="minor"/>
      </rPr>
      <t xml:space="preserve">
</t>
    </r>
    <r>
      <rPr>
        <sz val="11"/>
        <color theme="1"/>
        <rFont val="Aptos Narrow"/>
        <family val="2"/>
        <scheme val="minor"/>
      </rPr>
      <t xml:space="preserve">- Premi STAR YRT, premi murah di awal namun jika diakumulasikan lebih mahal dibandingkan Allianz Critical Plus (2x premi Allianz)
- Manfaat Tindakan Angioplasty pada Allianz bersifat </t>
    </r>
    <r>
      <rPr>
        <i/>
        <sz val="11"/>
        <color theme="1"/>
        <rFont val="Aptos Narrow"/>
        <family val="2"/>
        <scheme val="minor"/>
      </rPr>
      <t>non-accelerated</t>
    </r>
    <r>
      <rPr>
        <sz val="11"/>
        <color theme="1"/>
        <rFont val="Aptos Narrow"/>
        <family val="2"/>
        <scheme val="minor"/>
      </rPr>
      <t xml:space="preserve">, sedangkan STAR bersifat </t>
    </r>
    <r>
      <rPr>
        <i/>
        <sz val="11"/>
        <color theme="1"/>
        <rFont val="Aptos Narrow"/>
        <family val="2"/>
        <scheme val="minor"/>
      </rPr>
      <t>accelerated</t>
    </r>
    <r>
      <rPr>
        <b/>
        <sz val="11"/>
        <color theme="1"/>
        <rFont val="Aptos Narrow"/>
        <family val="2"/>
        <scheme val="minor"/>
      </rPr>
      <t xml:space="preserve">
</t>
    </r>
  </si>
  <si>
    <t>Comparison Summary</t>
  </si>
  <si>
    <r>
      <t xml:space="preserve">Kelemahan STAR:
- </t>
    </r>
    <r>
      <rPr>
        <sz val="11"/>
        <color theme="1"/>
        <rFont val="Aptos Narrow"/>
        <family val="2"/>
        <scheme val="minor"/>
      </rPr>
      <t>Premi STAR YRT, lebih murah di awal namun ketika diakumulasikan lebih mahal daripada PPKA (</t>
    </r>
    <r>
      <rPr>
        <b/>
        <sz val="11"/>
        <color theme="1"/>
        <rFont val="Aptos Narrow"/>
        <family val="2"/>
        <scheme val="minor"/>
      </rPr>
      <t xml:space="preserve">73% lebih mahal)
- </t>
    </r>
    <r>
      <rPr>
        <sz val="11"/>
        <color theme="1"/>
        <rFont val="Aptos Narrow"/>
        <family val="2"/>
        <scheme val="minor"/>
      </rPr>
      <t xml:space="preserve">Nominal Manfaat Angioplasty sama, namun pada PPKA Manfaat Angioplasty bersifat </t>
    </r>
    <r>
      <rPr>
        <i/>
        <sz val="11"/>
        <color theme="1"/>
        <rFont val="Aptos Narrow"/>
        <family val="2"/>
        <scheme val="minor"/>
      </rPr>
      <t>non-accelerated</t>
    </r>
    <r>
      <rPr>
        <b/>
        <sz val="11"/>
        <color theme="1"/>
        <rFont val="Aptos Narrow"/>
        <family val="2"/>
        <scheme val="minor"/>
      </rPr>
      <t xml:space="preserve">
</t>
    </r>
    <r>
      <rPr>
        <sz val="11"/>
        <color theme="1"/>
        <rFont val="Aptos Narrow"/>
        <family val="2"/>
        <scheme val="minor"/>
      </rPr>
      <t xml:space="preserve">- Manfaat Advanced CI pada PPKA lebih besar, yaitu 100% UP + 100% ROP. Selain itu, manfaat ini juga tidak dikurangi dengan manfaat-manfaat lain yang telah dibayarkan. </t>
    </r>
  </si>
  <si>
    <t>4 list penyakit Advanced CI yang
 dipertanggungkan pada produk PPKA</t>
  </si>
  <si>
    <r>
      <rPr>
        <b/>
        <sz val="11"/>
        <color theme="1"/>
        <rFont val="Aptos Narrow"/>
        <family val="2"/>
        <scheme val="minor"/>
      </rPr>
      <t>Keunggulan STAR:</t>
    </r>
    <r>
      <rPr>
        <sz val="11"/>
        <color theme="1"/>
        <rFont val="Aptos Narrow"/>
        <family val="2"/>
        <scheme val="minor"/>
      </rPr>
      <t xml:space="preserve">
- Manfaat Early CI pada produk STAR dapat berlaku 2x dengan diagnosis yang berbeda, sedangkan Zurich Critical Care hanya berlaku 1x</t>
    </r>
  </si>
  <si>
    <r>
      <rPr>
        <b/>
        <sz val="11"/>
        <color theme="1"/>
        <rFont val="Aptos Narrow"/>
        <family val="2"/>
        <scheme val="minor"/>
      </rPr>
      <t>Keunggulan STAR:</t>
    </r>
    <r>
      <rPr>
        <sz val="11"/>
        <color theme="1"/>
        <rFont val="Aptos Narrow"/>
        <family val="2"/>
        <scheme val="minor"/>
      </rPr>
      <t xml:space="preserve">
- STAR mengcover lebih banyak Minor CI, yaitu 58 Minor CI. Sedangkan Minor CI yang di cover Allianz hanya 30. Untuk Major CI sama-sama mengcover 77 Major CI. 
- STAR memiliki fitur NCB dengan periode 10 tahunan tanpa klaim. Sedangkan fitur ROP pada Allianz didapatkan di akhir masa asuransi yaitu 20 tahunan. 
- STAR memiliki Manfaat Perawatan ICU.
- Secara Premi, walaupun akumulasi lebih mahal karena YRT, namun Premi STAR lebih murah di Usia muda. 
</t>
    </r>
  </si>
  <si>
    <r>
      <rPr>
        <b/>
        <sz val="11"/>
        <color theme="1"/>
        <rFont val="Aptos Narrow"/>
        <family val="2"/>
        <scheme val="minor"/>
      </rPr>
      <t>Keunggulan STAR:</t>
    </r>
    <r>
      <rPr>
        <sz val="11"/>
        <color theme="1"/>
        <rFont val="Aptos Narrow"/>
        <family val="2"/>
        <scheme val="minor"/>
      </rPr>
      <t xml:space="preserve">
- STAR mengcover 58 Minor CI &amp; 77 Major CI. Sedangkan PPKA hanya mengcover 1 dari 4 Major CI yang di cover saja. 
- Apabila eligible untuk mendapatkan Manfaat NCB, STAR lebih unggul karena walaupun Premi lebih mahal, namun NCB yang dikembalikan lebih besar juga nominalnya dibandingkan dengan Maturity Benefit pada produk PPKA, dengan periode 10 Tahunan dibandingkan PPKA yang didapatkan di akhir Masa Asuransi yaitu 20 tahun. 
- Nominal Manfaat ICU pada STAR lebih unggul, yaitu 50% UP. Sedangkan PPKA 25% UP. </t>
    </r>
  </si>
  <si>
    <t>25% UP maks. Rp1,5 bio (30 Minor CI)
Note:
- berlaku 1x selama masa pertanggungan
- berlaku kembali setelah Polis diperpanjang, maks. 2x klaim untuk 2 kondisi kritis berbeda</t>
  </si>
  <si>
    <r>
      <t xml:space="preserve">100% UP dikurangi Early CI yang telah dibayarkan (77 Major CI)
</t>
    </r>
    <r>
      <rPr>
        <b/>
        <sz val="11"/>
        <color theme="1"/>
        <rFont val="Aptos Narrow"/>
        <family val="2"/>
        <scheme val="minor"/>
      </rPr>
      <t xml:space="preserve">(Manfaat Booster 50% UP, </t>
    </r>
    <r>
      <rPr>
        <sz val="11"/>
        <color theme="1"/>
        <rFont val="Aptos Narrow"/>
        <family val="2"/>
        <scheme val="minor"/>
      </rPr>
      <t xml:space="preserve"> pada Tahun Polis ke-2 dengan persyaratan tertentu)</t>
    </r>
  </si>
  <si>
    <t>100% UP dikurangi Early CI, Angioplasty &amp; ICU yang telah dibayarkan, selanjutnya Polis berakhir (77 Major CI)</t>
  </si>
  <si>
    <t>100% UP dikurangi Early CI &amp; Angioplasty yang telah dibayarkan
Note: Polis tidak berakhir setelah Manfaat Advanced CI dibayarkan</t>
  </si>
  <si>
    <t>N/A (Polis sudah berakhir)</t>
  </si>
  <si>
    <r>
      <t xml:space="preserve">Kelemahan STAR:
</t>
    </r>
    <r>
      <rPr>
        <sz val="11"/>
        <color theme="1"/>
        <rFont val="Aptos Narrow"/>
        <family val="2"/>
        <scheme val="minor"/>
      </rPr>
      <t xml:space="preserve">- Dengan ilustrasi yang sama, Premi STAR lebih mahal dibandingkan Zurich Critical Care 
- Pada produk Zurich Critical Care, Polis masih tetap berlanjut setelah klaim Manfaat Advanced CI, sehingga memungkinkan juga mendapat Manfaat Meninggal Dunia. Sedangkan pada STAR Polis berakhir setelah klaim Advanced CI
</t>
    </r>
    <r>
      <rPr>
        <b/>
        <sz val="11"/>
        <color theme="1"/>
        <rFont val="Aptos Narrow"/>
        <family val="2"/>
        <scheme val="minor"/>
      </rPr>
      <t xml:space="preserve">
</t>
    </r>
  </si>
  <si>
    <t>N/A (Bapak A tidak melakukan klaim ICU)</t>
  </si>
  <si>
    <t>Astra Life</t>
  </si>
  <si>
    <t>ASLI Critical Care Protector</t>
  </si>
  <si>
    <t>Kesehatan - CI</t>
  </si>
  <si>
    <t>6 bulan - 60 tahun</t>
  </si>
  <si>
    <t>100% UP (hanya dikurangi Manfaat Early CI)</t>
  </si>
  <si>
    <r>
      <t xml:space="preserve">10% UP maks. Rp200 mio </t>
    </r>
    <r>
      <rPr>
        <i/>
        <sz val="11"/>
        <color theme="1"/>
        <rFont val="Aptos Narrow"/>
        <family val="2"/>
        <scheme val="minor"/>
      </rPr>
      <t xml:space="preserve">(accelerated </t>
    </r>
    <r>
      <rPr>
        <sz val="11"/>
        <color theme="1"/>
        <rFont val="Aptos Narrow"/>
        <family val="2"/>
        <scheme val="minor"/>
      </rPr>
      <t>hanya untuk advanced CI</t>
    </r>
    <r>
      <rPr>
        <i/>
        <sz val="11"/>
        <color theme="1"/>
        <rFont val="Aptos Narrow"/>
        <family val="2"/>
        <scheme val="minor"/>
      </rPr>
      <t>)</t>
    </r>
  </si>
  <si>
    <t>Dibayarkan di akhir Masa Pertanggungan sebesar:</t>
  </si>
  <si>
    <t>10, 15, atau 20 tahun</t>
  </si>
  <si>
    <r>
      <t xml:space="preserve">25% UP 
Note:
- berlaku 2x dengan diagnosis Early CI berbeda, maks. 50% UP
- Bersifat </t>
    </r>
    <r>
      <rPr>
        <i/>
        <sz val="11"/>
        <color theme="1"/>
        <rFont val="Aptos Narrow"/>
        <family val="2"/>
        <scheme val="minor"/>
      </rPr>
      <t xml:space="preserve">accelerated
- </t>
    </r>
    <r>
      <rPr>
        <sz val="11"/>
        <color theme="1"/>
        <rFont val="Aptos Narrow"/>
        <family val="2"/>
        <scheme val="minor"/>
      </rPr>
      <t>58 Minor CI</t>
    </r>
  </si>
  <si>
    <r>
      <t xml:space="preserve">50% UP dengan Maks. Rp1,5 bio
Note: 
- Hanya berlaku 1x selama Masa Asuransi
- Bersifat </t>
    </r>
    <r>
      <rPr>
        <i/>
        <sz val="11"/>
        <color theme="1"/>
        <rFont val="Aptos Narrow"/>
        <family val="2"/>
        <scheme val="minor"/>
      </rPr>
      <t xml:space="preserve">accelerated
- </t>
    </r>
    <r>
      <rPr>
        <sz val="11"/>
        <color theme="1"/>
        <rFont val="Aptos Narrow"/>
        <family val="2"/>
        <scheme val="minor"/>
      </rPr>
      <t xml:space="preserve">38 Minor CI
</t>
    </r>
  </si>
  <si>
    <t xml:space="preserve">100% UP dikurangi Early CI &amp; Angioplasty yang telah dibayarkan (52 Major CI)
</t>
  </si>
  <si>
    <r>
      <rPr>
        <b/>
        <sz val="12"/>
        <color theme="1"/>
        <rFont val="Aptos Narrow"/>
        <family val="2"/>
        <scheme val="minor"/>
      </rPr>
      <t xml:space="preserve">Kelemahan STAR:
</t>
    </r>
    <r>
      <rPr>
        <sz val="12"/>
        <color theme="1"/>
        <rFont val="Aptos Narrow"/>
        <family val="2"/>
        <scheme val="minor"/>
      </rPr>
      <t xml:space="preserve">- Dengan ilustrasi yang sama, akumulasi Premi STAR lebih mahal dibandingkan ASLI sekitar 30%
- Manfaat Meninggal Dunia pada STAR dikurangi dengan Minor CI, Angioplasty dan ICU, sedangkan pada ASLI pengurangnya hanya Minor CI saja. 
- Walaupun nominal Manfaat Minor CI STAR lebih kecil dibandingkan ASLI, namun dapat berlaku 2x sehingga jika in total sama-sama 50%. </t>
    </r>
  </si>
  <si>
    <r>
      <rPr>
        <b/>
        <sz val="12"/>
        <color theme="1"/>
        <rFont val="Aptos Narrow"/>
        <family val="2"/>
        <scheme val="minor"/>
      </rPr>
      <t>Keunggulan STAR:</t>
    </r>
    <r>
      <rPr>
        <sz val="12"/>
        <color theme="1"/>
        <rFont val="Aptos Narrow"/>
        <family val="2"/>
        <scheme val="minor"/>
      </rPr>
      <t xml:space="preserve">
- Premi STAR secara akumulasi memang lebih mahal, namun Premi awal tetap lebih murah karena YRT, sehingga kalau Nasabah klaim awal-awal Tahun Polis akan lebih murah STAR. 
- Jika dihitung titik baliknya, </t>
    </r>
    <r>
      <rPr>
        <b/>
        <sz val="12"/>
        <color theme="1"/>
        <rFont val="Aptos Narrow"/>
        <family val="2"/>
        <scheme val="minor"/>
      </rPr>
      <t xml:space="preserve">Premi STAR akan setara dengan Premi ASLI </t>
    </r>
    <r>
      <rPr>
        <sz val="12"/>
        <color theme="1"/>
        <rFont val="Aptos Narrow"/>
        <family val="2"/>
        <scheme val="minor"/>
      </rPr>
      <t xml:space="preserve">sampai dengan Tahun Polis ke-16, sehingga kalau Nasabah klaim di 16 Tahun Polis pertama, maka akan lebih untung beli STAR (dengan asumsi coverage sama2 20 tahun). 
- Nominal Manfaat Minor CI STAR lebih kecil dibandingkan ASLI, namun dapat berlaku 2x sehingga jika in total sama-sama 50% (STAR bisa 2 Minor CI, perlindungan lebih banyak yaitu 58 Minor CI).
- Nominal Angioplasty lebih tinggi STAR, dan STAR juga ada Manfaat ICU sedangkan ASLI tidak ada. 
- ASLI punya Manfaat Akhir Kontrak, dimana percentage nya lebih besar dibandingkan STAR dan tetap bisa didapatkan meskipun pernah ada klaim kecuali klaim Major CI. -&gt; ini plus minus. 
</t>
    </r>
    <r>
      <rPr>
        <b/>
        <sz val="12"/>
        <color theme="1"/>
        <rFont val="Aptos Narrow"/>
        <family val="2"/>
        <scheme val="minor"/>
      </rPr>
      <t xml:space="preserve">Plusnya: </t>
    </r>
    <r>
      <rPr>
        <sz val="12"/>
        <color theme="1"/>
        <rFont val="Aptos Narrow"/>
        <family val="2"/>
        <scheme val="minor"/>
      </rPr>
      <t xml:space="preserve">
- Jika tidak ada klaim sama sekali, maka STAR dapat 200% ROP. 
- NCB STAR didapatkan lebih awal karena Periode 10 tahunan.
- Jika ada case nasabah dapat NCB 10 tahun pertama, lalu Tahun Polis ke-11 terkena Major CI, maka nasabah dapat double, 100% ROP dan 100% UP. Sedangkan kalau ASLI hanya dapat 100% UP saja. 
</t>
    </r>
    <r>
      <rPr>
        <b/>
        <sz val="12"/>
        <color theme="1"/>
        <rFont val="Aptos Narrow"/>
        <family val="2"/>
        <scheme val="minor"/>
      </rPr>
      <t>Minusnya:</t>
    </r>
    <r>
      <rPr>
        <sz val="12"/>
        <color theme="1"/>
        <rFont val="Aptos Narrow"/>
        <family val="2"/>
        <scheme val="minor"/>
      </rPr>
      <t xml:space="preserve">
- NCB STAR didapatkan jika tidak ada klaim sama sekali, sedangkan ASLI tetap bisa dapat, jika Nasabah klaim Minor CI dan Angioplasty maka di akhir pertanggungan tetap dibayarkan Manfaat Akhir Kontrak tersebut. </t>
    </r>
  </si>
  <si>
    <t>150% ROP Premi dasar yang telah dibayarkan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</si>
</sst>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p&quot;* #,##0.00_-;\-&quot;Rp&quot;* #,##0.00_-;_-&quot;Rp&quot;* &quot;-&quot;??_-;_-@_-"/>
    <numFmt numFmtId="164" formatCode="&quot;Rp&quot;#,##0.00"/>
  </numFmts>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b/>
      <i/>
      <sz val="11"/>
      <color theme="1"/>
      <name val="Aptos Narrow"/>
      <family val="2"/>
      <scheme val="minor"/>
    </font>
    <font>
      <sz val="11"/>
      <color theme="1"/>
      <name val="Aptos Narrow"/>
      <family val="2"/>
    </font>
    <font>
      <i/>
      <sz val="11"/>
      <color theme="1"/>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s>
  <fills count="14">
    <fill>
      <patternFill patternType="none"/>
    </fill>
    <fill>
      <patternFill patternType="gray125"/>
    </fill>
    <fill>
      <patternFill patternType="solid">
        <fgColor rgb="FF6699FF"/>
        <bgColor indexed="64"/>
      </patternFill>
    </fill>
    <fill>
      <patternFill patternType="solid">
        <fgColor theme="2"/>
        <bgColor indexed="64"/>
      </patternFill>
    </fill>
    <fill>
      <patternFill patternType="solid">
        <fgColor rgb="FF0070C0"/>
        <bgColor indexed="64"/>
      </patternFill>
    </fill>
    <fill>
      <patternFill patternType="solid">
        <fgColor rgb="FF002060"/>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800000"/>
        <bgColor indexed="64"/>
      </patternFill>
    </fill>
    <fill>
      <patternFill patternType="solid">
        <fgColor rgb="FFFFC000"/>
        <bgColor indexed="64"/>
      </patternFill>
    </fill>
    <fill>
      <patternFill patternType="solid">
        <fgColor rgb="FF00B050"/>
        <bgColor indexed="64"/>
      </patternFill>
    </fill>
    <fill>
      <patternFill patternType="solid">
        <fgColor theme="7"/>
        <bgColor indexed="64"/>
      </patternFill>
    </fill>
    <fill>
      <patternFill patternType="solid">
        <fgColor rgb="FF0099D8"/>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s>
  <cellStyleXfs count="2">
    <xf numFmtId="0" fontId="0" fillId="0" borderId="0"/>
    <xf numFmtId="9" fontId="6" fillId="0" borderId="0" applyFont="0" applyFill="0" applyBorder="0" applyAlignment="0" applyProtection="0"/>
  </cellStyleXfs>
  <cellXfs count="19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 fillId="4" borderId="1" xfId="0" applyFont="1" applyFill="1" applyBorder="1" applyAlignment="1">
      <alignment horizontal="center"/>
    </xf>
    <xf numFmtId="0" fontId="1" fillId="5" borderId="4" xfId="0" applyFont="1" applyFill="1" applyBorder="1" applyAlignment="1">
      <alignment horizontal="center"/>
    </xf>
    <xf numFmtId="0" fontId="0" fillId="0" borderId="11" xfId="0" applyBorder="1"/>
    <xf numFmtId="0" fontId="0" fillId="0" borderId="12" xfId="0" applyBorder="1" applyAlignment="1">
      <alignment horizontal="center" vertical="center"/>
    </xf>
    <xf numFmtId="0" fontId="0" fillId="0" borderId="6" xfId="0" applyBorder="1" applyAlignment="1">
      <alignment horizontal="center" vertical="center" wrapText="1"/>
    </xf>
    <xf numFmtId="0" fontId="1" fillId="4" borderId="20" xfId="0" applyFont="1" applyFill="1" applyBorder="1" applyAlignment="1">
      <alignment horizontal="center"/>
    </xf>
    <xf numFmtId="0" fontId="2" fillId="3" borderId="19" xfId="0" applyFont="1" applyFill="1" applyBorder="1"/>
    <xf numFmtId="0" fontId="2" fillId="3" borderId="3" xfId="0" applyFont="1" applyFill="1" applyBorder="1"/>
    <xf numFmtId="0" fontId="2" fillId="3" borderId="3" xfId="0" applyFont="1" applyFill="1" applyBorder="1" applyAlignment="1">
      <alignment horizontal="left" vertical="center"/>
    </xf>
    <xf numFmtId="0" fontId="2" fillId="3" borderId="5" xfId="0" applyFont="1" applyFill="1" applyBorder="1"/>
    <xf numFmtId="0" fontId="2" fillId="3" borderId="2" xfId="0" applyFont="1" applyFill="1" applyBorder="1" applyAlignment="1">
      <alignment horizontal="left" vertical="center"/>
    </xf>
    <xf numFmtId="0" fontId="2" fillId="3" borderId="3" xfId="0" applyFont="1" applyFill="1" applyBorder="1" applyAlignment="1">
      <alignment horizontal="left" vertical="center" wrapText="1"/>
    </xf>
    <xf numFmtId="0" fontId="2" fillId="3" borderId="5" xfId="0" applyFont="1" applyFill="1" applyBorder="1" applyAlignment="1">
      <alignment horizontal="left" vertical="center"/>
    </xf>
    <xf numFmtId="0" fontId="0" fillId="6" borderId="0" xfId="0" applyFill="1"/>
    <xf numFmtId="164" fontId="0" fillId="0" borderId="0" xfId="0" applyNumberFormat="1" applyAlignment="1">
      <alignment horizontal="center" vertical="center"/>
    </xf>
    <xf numFmtId="0" fontId="0" fillId="0" borderId="12" xfId="0" applyBorder="1" applyAlignment="1">
      <alignment vertical="center" wrapText="1"/>
    </xf>
    <xf numFmtId="0" fontId="0" fillId="0" borderId="12" xfId="0" applyBorder="1"/>
    <xf numFmtId="0" fontId="0" fillId="0" borderId="11" xfId="0" applyBorder="1" applyAlignment="1">
      <alignment horizontal="left" wrapText="1"/>
    </xf>
    <xf numFmtId="164" fontId="0" fillId="0" borderId="12" xfId="0" applyNumberFormat="1" applyBorder="1" applyAlignment="1">
      <alignment horizontal="center" vertical="center"/>
    </xf>
    <xf numFmtId="0" fontId="0" fillId="0" borderId="13" xfId="0" applyBorder="1"/>
    <xf numFmtId="0" fontId="0" fillId="0" borderId="14" xfId="0" applyBorder="1"/>
    <xf numFmtId="0" fontId="0" fillId="0" borderId="15" xfId="0" applyBorder="1"/>
    <xf numFmtId="0" fontId="0" fillId="0" borderId="11" xfId="0" applyBorder="1" applyAlignment="1">
      <alignment wrapText="1"/>
    </xf>
    <xf numFmtId="0" fontId="1" fillId="4" borderId="0" xfId="0" applyFont="1" applyFill="1" applyAlignment="1">
      <alignment horizontal="center"/>
    </xf>
    <xf numFmtId="0" fontId="1" fillId="5" borderId="12" xfId="0" applyFont="1" applyFill="1" applyBorder="1" applyAlignment="1">
      <alignment horizontal="center"/>
    </xf>
    <xf numFmtId="0" fontId="1" fillId="9" borderId="11" xfId="0" applyFont="1" applyFill="1" applyBorder="1"/>
    <xf numFmtId="164" fontId="0" fillId="7" borderId="12" xfId="0" applyNumberFormat="1" applyFill="1" applyBorder="1" applyAlignment="1">
      <alignment horizontal="center" vertical="center"/>
    </xf>
    <xf numFmtId="0" fontId="1" fillId="9" borderId="11" xfId="0" applyFont="1" applyFill="1" applyBorder="1" applyAlignment="1">
      <alignment wrapText="1"/>
    </xf>
    <xf numFmtId="0" fontId="0" fillId="0" borderId="11" xfId="0" applyBorder="1" applyAlignment="1">
      <alignment horizontal="left" vertical="center" wrapText="1"/>
    </xf>
    <xf numFmtId="0" fontId="0" fillId="0" borderId="11" xfId="0" applyBorder="1" applyAlignment="1">
      <alignment horizontal="left" vertical="center"/>
    </xf>
    <xf numFmtId="0" fontId="0" fillId="0" borderId="4" xfId="0" applyBorder="1" applyAlignment="1">
      <alignment horizontal="center" vertical="center" wrapText="1"/>
    </xf>
    <xf numFmtId="164" fontId="0" fillId="0" borderId="0" xfId="0" applyNumberFormat="1"/>
    <xf numFmtId="0" fontId="0" fillId="10" borderId="4" xfId="0" applyFill="1" applyBorder="1" applyAlignment="1">
      <alignment horizontal="center" vertical="center"/>
    </xf>
    <xf numFmtId="0" fontId="1" fillId="11" borderId="21" xfId="0" applyFont="1" applyFill="1" applyBorder="1" applyAlignment="1">
      <alignment horizontal="center"/>
    </xf>
    <xf numFmtId="0" fontId="2" fillId="3" borderId="3" xfId="0" applyFont="1" applyFill="1" applyBorder="1" applyAlignment="1">
      <alignment vertical="center"/>
    </xf>
    <xf numFmtId="0" fontId="1" fillId="12" borderId="21" xfId="0" applyFont="1" applyFill="1" applyBorder="1" applyAlignment="1">
      <alignment horizontal="center"/>
    </xf>
    <xf numFmtId="0" fontId="0" fillId="0" borderId="26" xfId="0" applyBorder="1" applyAlignment="1">
      <alignment horizontal="center" vertical="center"/>
    </xf>
    <xf numFmtId="0" fontId="2" fillId="3" borderId="25" xfId="0" applyFont="1" applyFill="1" applyBorder="1"/>
    <xf numFmtId="0" fontId="0" fillId="0" borderId="27" xfId="0" applyBorder="1" applyAlignment="1">
      <alignment horizontal="center" vertical="center"/>
    </xf>
    <xf numFmtId="0" fontId="2" fillId="0" borderId="0" xfId="0" applyFont="1"/>
    <xf numFmtId="164" fontId="0" fillId="0" borderId="0" xfId="0" applyNumberFormat="1" applyAlignment="1">
      <alignment horizontal="center"/>
    </xf>
    <xf numFmtId="164" fontId="0" fillId="8" borderId="0" xfId="0" applyNumberFormat="1" applyFill="1" applyAlignment="1">
      <alignment horizontal="center" vertical="center"/>
    </xf>
    <xf numFmtId="0" fontId="0" fillId="0" borderId="11" xfId="0" applyBorder="1" applyAlignment="1">
      <alignment horizontal="left" vertical="top" wrapText="1"/>
    </xf>
    <xf numFmtId="0" fontId="0" fillId="8" borderId="1" xfId="0" applyFill="1" applyBorder="1" applyAlignment="1">
      <alignment horizontal="center" vertical="center" wrapText="1"/>
    </xf>
    <xf numFmtId="0" fontId="1" fillId="0" borderId="11" xfId="0" applyFont="1" applyBorder="1" applyAlignment="1">
      <alignment wrapText="1"/>
    </xf>
    <xf numFmtId="0" fontId="2" fillId="0" borderId="0" xfId="0" applyFont="1" applyAlignment="1">
      <alignment horizontal="center"/>
    </xf>
    <xf numFmtId="0" fontId="2" fillId="0" borderId="12" xfId="0" applyFont="1" applyBorder="1" applyAlignment="1">
      <alignment horizontal="center"/>
    </xf>
    <xf numFmtId="44" fontId="0" fillId="0" borderId="0" xfId="0" applyNumberFormat="1"/>
    <xf numFmtId="164" fontId="0" fillId="10" borderId="12" xfId="0" applyNumberFormat="1" applyFill="1" applyBorder="1" applyAlignment="1">
      <alignment horizontal="center" vertical="center"/>
    </xf>
    <xf numFmtId="0" fontId="0" fillId="10" borderId="4" xfId="0" applyFill="1" applyBorder="1" applyAlignment="1">
      <alignment horizontal="center" wrapText="1"/>
    </xf>
    <xf numFmtId="0" fontId="0" fillId="10" borderId="7" xfId="0" applyFill="1" applyBorder="1" applyAlignment="1">
      <alignment horizontal="center" vertical="center" wrapText="1"/>
    </xf>
    <xf numFmtId="0" fontId="0" fillId="10" borderId="6" xfId="0" applyFill="1" applyBorder="1" applyAlignment="1">
      <alignment horizontal="center" vertical="center" wrapText="1"/>
    </xf>
    <xf numFmtId="0" fontId="0" fillId="8" borderId="1" xfId="0" applyFill="1" applyBorder="1" applyAlignment="1">
      <alignment horizontal="center" vertical="center"/>
    </xf>
    <xf numFmtId="9" fontId="0" fillId="0" borderId="0" xfId="1" applyFont="1"/>
    <xf numFmtId="0" fontId="0" fillId="10" borderId="12" xfId="0" applyFill="1" applyBorder="1"/>
    <xf numFmtId="0" fontId="1" fillId="4" borderId="20" xfId="0" applyFont="1" applyFill="1" applyBorder="1" applyAlignment="1">
      <alignment horizontal="center" vertical="center"/>
    </xf>
    <xf numFmtId="0" fontId="1" fillId="5" borderId="21" xfId="0" applyFont="1" applyFill="1" applyBorder="1" applyAlignment="1">
      <alignment horizontal="center" vertical="center"/>
    </xf>
    <xf numFmtId="0" fontId="1" fillId="13" borderId="21" xfId="0" applyFont="1" applyFill="1" applyBorder="1" applyAlignment="1">
      <alignment horizontal="center"/>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2" fillId="3" borderId="3" xfId="0" applyFont="1" applyFill="1" applyBorder="1" applyAlignment="1">
      <alignment horizontal="left" vertical="center"/>
    </xf>
    <xf numFmtId="0" fontId="0" fillId="0" borderId="4" xfId="0" applyBorder="1" applyAlignment="1">
      <alignment horizontal="center" vertical="top" wrapText="1"/>
    </xf>
    <xf numFmtId="0" fontId="0" fillId="0" borderId="1" xfId="0" applyBorder="1" applyAlignment="1">
      <alignment horizontal="center" vertical="center"/>
    </xf>
    <xf numFmtId="0" fontId="0" fillId="0" borderId="4" xfId="0" applyBorder="1" applyAlignment="1">
      <alignment horizontal="center" vertical="center"/>
    </xf>
    <xf numFmtId="0" fontId="2" fillId="3" borderId="35" xfId="0" applyFont="1" applyFill="1" applyBorder="1" applyAlignment="1">
      <alignment horizontal="left" vertical="center"/>
    </xf>
    <xf numFmtId="0" fontId="2" fillId="3" borderId="11" xfId="0" applyFont="1" applyFill="1" applyBorder="1" applyAlignment="1">
      <alignment horizontal="left" vertical="center"/>
    </xf>
    <xf numFmtId="0" fontId="2" fillId="3" borderId="13" xfId="0" applyFont="1" applyFill="1" applyBorder="1" applyAlignment="1">
      <alignment horizontal="left" vertical="center"/>
    </xf>
    <xf numFmtId="0" fontId="0" fillId="0" borderId="32"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10" borderId="38" xfId="0" applyFill="1" applyBorder="1" applyAlignment="1">
      <alignment horizontal="left" vertical="top" wrapText="1"/>
    </xf>
    <xf numFmtId="0" fontId="0" fillId="10" borderId="12" xfId="0" applyFill="1" applyBorder="1" applyAlignment="1">
      <alignment horizontal="left" vertical="top" wrapText="1"/>
    </xf>
    <xf numFmtId="0" fontId="0" fillId="10" borderId="15" xfId="0" applyFill="1" applyBorder="1" applyAlignment="1">
      <alignment horizontal="left" vertical="top" wrapText="1"/>
    </xf>
    <xf numFmtId="0" fontId="0" fillId="0" borderId="0" xfId="0" applyAlignment="1">
      <alignment horizontal="center"/>
    </xf>
    <xf numFmtId="0" fontId="0" fillId="0" borderId="12" xfId="0" applyBorder="1" applyAlignment="1">
      <alignment horizontal="center" vertical="center"/>
    </xf>
    <xf numFmtId="0" fontId="2" fillId="3" borderId="25" xfId="0" applyFont="1" applyFill="1" applyBorder="1" applyAlignment="1">
      <alignment horizontal="left" vertical="center"/>
    </xf>
    <xf numFmtId="0" fontId="2" fillId="3" borderId="28" xfId="0" applyFont="1" applyFill="1" applyBorder="1" applyAlignment="1">
      <alignment horizontal="left" vertical="center"/>
    </xf>
    <xf numFmtId="0" fontId="0" fillId="0" borderId="26" xfId="0" applyBorder="1" applyAlignment="1">
      <alignment horizontal="center" vertical="center" wrapText="1"/>
    </xf>
    <xf numFmtId="0" fontId="0" fillId="0" borderId="29" xfId="0" applyBorder="1" applyAlignment="1">
      <alignment horizontal="center" vertical="center" wrapText="1"/>
    </xf>
    <xf numFmtId="0" fontId="0" fillId="10" borderId="26" xfId="0" applyFill="1" applyBorder="1" applyAlignment="1">
      <alignment horizontal="center" vertical="center" wrapText="1"/>
    </xf>
    <xf numFmtId="0" fontId="0" fillId="10" borderId="29" xfId="0" applyFill="1" applyBorder="1" applyAlignment="1">
      <alignment horizontal="center" vertical="center" wrapText="1"/>
    </xf>
    <xf numFmtId="0" fontId="2" fillId="0" borderId="0" xfId="0" applyFont="1" applyAlignment="1">
      <alignment horizontal="center" vertical="center"/>
    </xf>
    <xf numFmtId="0" fontId="2" fillId="0" borderId="12" xfId="0" applyFont="1" applyBorder="1" applyAlignment="1">
      <alignment horizontal="center" vertical="center"/>
    </xf>
    <xf numFmtId="0" fontId="0" fillId="0" borderId="11" xfId="0" applyBorder="1" applyAlignment="1">
      <alignment horizontal="left" vertical="center" wrapText="1"/>
    </xf>
    <xf numFmtId="0" fontId="0" fillId="0" borderId="0" xfId="0" applyAlignment="1">
      <alignment horizontal="center" vertical="center"/>
    </xf>
    <xf numFmtId="164" fontId="0" fillId="0" borderId="12" xfId="0" applyNumberFormat="1" applyBorder="1" applyAlignment="1">
      <alignment horizontal="center" vertical="center"/>
    </xf>
    <xf numFmtId="0" fontId="2" fillId="0" borderId="0" xfId="0" applyFont="1" applyAlignment="1">
      <alignment horizontal="center"/>
    </xf>
    <xf numFmtId="0" fontId="2" fillId="0" borderId="12" xfId="0" applyFont="1" applyBorder="1" applyAlignment="1">
      <alignment horizontal="center"/>
    </xf>
    <xf numFmtId="164" fontId="0" fillId="0" borderId="0" xfId="0" applyNumberFormat="1" applyAlignment="1">
      <alignment horizontal="center" vertical="center"/>
    </xf>
    <xf numFmtId="0" fontId="2" fillId="3" borderId="3" xfId="0" applyFont="1" applyFill="1" applyBorder="1" applyAlignment="1">
      <alignment horizontal="left" vertical="center" wrapText="1"/>
    </xf>
    <xf numFmtId="0" fontId="0" fillId="8" borderId="1" xfId="0" applyFill="1" applyBorder="1" applyAlignment="1">
      <alignment horizontal="center" vertical="center" wrapText="1"/>
    </xf>
    <xf numFmtId="0" fontId="1" fillId="2" borderId="16" xfId="0" applyFont="1" applyFill="1" applyBorder="1" applyAlignment="1">
      <alignment horizontal="center"/>
    </xf>
    <xf numFmtId="0" fontId="1" fillId="2" borderId="17" xfId="0" applyFont="1" applyFill="1" applyBorder="1" applyAlignment="1">
      <alignment horizontal="center" vertical="center"/>
    </xf>
    <xf numFmtId="0" fontId="1" fillId="2" borderId="18" xfId="0" applyFont="1" applyFill="1" applyBorder="1" applyAlignment="1">
      <alignment horizontal="center" vertical="center"/>
    </xf>
    <xf numFmtId="0" fontId="0" fillId="0" borderId="11" xfId="0" applyBorder="1" applyAlignment="1">
      <alignment horizontal="left" wrapText="1"/>
    </xf>
    <xf numFmtId="164" fontId="0" fillId="8" borderId="0" xfId="0" applyNumberFormat="1" applyFill="1" applyAlignment="1">
      <alignment horizontal="center" vertical="center"/>
    </xf>
    <xf numFmtId="0" fontId="2" fillId="3" borderId="5" xfId="0" applyFont="1" applyFill="1" applyBorder="1" applyAlignment="1">
      <alignment horizontal="left" vertical="center"/>
    </xf>
    <xf numFmtId="0" fontId="0" fillId="0" borderId="6" xfId="0" applyBorder="1" applyAlignment="1">
      <alignment horizontal="center" vertical="center"/>
    </xf>
    <xf numFmtId="0" fontId="0" fillId="0" borderId="4" xfId="0" quotePrefix="1" applyBorder="1" applyAlignment="1">
      <alignment horizontal="center" vertical="center" wrapText="1"/>
    </xf>
    <xf numFmtId="0" fontId="0" fillId="0" borderId="7" xfId="0" quotePrefix="1" applyBorder="1" applyAlignment="1">
      <alignment horizontal="center" vertical="center"/>
    </xf>
    <xf numFmtId="0" fontId="2" fillId="3" borderId="0" xfId="0" applyFont="1" applyFill="1" applyAlignment="1">
      <alignment horizontal="center" vertical="center"/>
    </xf>
    <xf numFmtId="0" fontId="2" fillId="3" borderId="12" xfId="0" applyFont="1" applyFill="1" applyBorder="1" applyAlignment="1">
      <alignment horizontal="center" vertical="center"/>
    </xf>
    <xf numFmtId="0" fontId="0" fillId="0" borderId="13" xfId="0" applyBorder="1" applyAlignment="1">
      <alignment horizontal="left" wrapText="1"/>
    </xf>
    <xf numFmtId="164"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0" xfId="0" applyFont="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horizontal="left" vertical="top" wrapText="1"/>
    </xf>
    <xf numFmtId="0" fontId="8" fillId="0" borderId="14" xfId="0" applyFont="1" applyBorder="1" applyAlignment="1">
      <alignment horizontal="left" vertical="top" wrapText="1"/>
    </xf>
    <xf numFmtId="0" fontId="8" fillId="0" borderId="15" xfId="0" applyFont="1" applyBorder="1" applyAlignment="1">
      <alignment horizontal="left" vertical="top" wrapText="1"/>
    </xf>
    <xf numFmtId="0" fontId="2" fillId="3" borderId="0" xfId="0" applyFont="1" applyFill="1" applyAlignment="1">
      <alignment horizontal="center"/>
    </xf>
    <xf numFmtId="0" fontId="2" fillId="3" borderId="12" xfId="0" applyFont="1" applyFill="1" applyBorder="1" applyAlignment="1">
      <alignment horizontal="center"/>
    </xf>
    <xf numFmtId="0" fontId="0" fillId="0" borderId="11" xfId="0" applyBorder="1" applyAlignment="1">
      <alignment horizontal="left" vertical="top" wrapText="1"/>
    </xf>
    <xf numFmtId="164" fontId="0" fillId="0" borderId="0" xfId="0" applyNumberFormat="1" applyAlignment="1">
      <alignment horizontal="center" vertical="center" wrapText="1"/>
    </xf>
    <xf numFmtId="0" fontId="1" fillId="2" borderId="11" xfId="0" applyFont="1" applyFill="1" applyBorder="1" applyAlignment="1">
      <alignment horizontal="center"/>
    </xf>
    <xf numFmtId="0" fontId="1" fillId="2" borderId="0" xfId="0" applyFont="1" applyFill="1" applyAlignment="1">
      <alignment horizontal="center"/>
    </xf>
    <xf numFmtId="0" fontId="1" fillId="2" borderId="12" xfId="0" applyFont="1" applyFill="1" applyBorder="1" applyAlignment="1">
      <alignment horizontal="center"/>
    </xf>
    <xf numFmtId="0" fontId="0" fillId="2" borderId="11" xfId="0" applyFill="1" applyBorder="1" applyAlignment="1">
      <alignment horizontal="center"/>
    </xf>
    <xf numFmtId="0" fontId="0" fillId="2" borderId="0" xfId="0" applyFill="1" applyAlignment="1">
      <alignment horizontal="center"/>
    </xf>
    <xf numFmtId="0" fontId="0" fillId="2" borderId="12" xfId="0" applyFill="1" applyBorder="1" applyAlignment="1">
      <alignment horizontal="center"/>
    </xf>
    <xf numFmtId="164" fontId="0" fillId="10" borderId="12" xfId="0" applyNumberFormat="1" applyFill="1" applyBorder="1" applyAlignment="1">
      <alignment horizontal="center" vertic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7" fillId="0" borderId="8" xfId="0" applyFont="1" applyBorder="1" applyAlignment="1">
      <alignment horizontal="left" vertical="top" wrapText="1"/>
    </xf>
    <xf numFmtId="0" fontId="2" fillId="0" borderId="9"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0" borderId="0" xfId="0" applyFont="1" applyAlignment="1">
      <alignment horizontal="left" vertical="top"/>
    </xf>
    <xf numFmtId="0" fontId="2" fillId="0" borderId="12" xfId="0" applyFont="1" applyBorder="1" applyAlignment="1">
      <alignment horizontal="left" vertical="top"/>
    </xf>
    <xf numFmtId="0" fontId="2" fillId="0" borderId="13" xfId="0" applyFont="1" applyBorder="1" applyAlignment="1">
      <alignment horizontal="left" vertical="top"/>
    </xf>
    <xf numFmtId="0" fontId="2" fillId="0" borderId="14" xfId="0" applyFont="1" applyBorder="1" applyAlignment="1">
      <alignment horizontal="left" vertical="top"/>
    </xf>
    <xf numFmtId="0" fontId="2" fillId="0" borderId="15" xfId="0" applyFont="1" applyBorder="1" applyAlignment="1">
      <alignment horizontal="left" vertical="top"/>
    </xf>
    <xf numFmtId="0" fontId="0" fillId="0" borderId="11" xfId="0" applyBorder="1" applyAlignment="1">
      <alignment horizontal="left" vertical="center"/>
    </xf>
    <xf numFmtId="0" fontId="2" fillId="0" borderId="11" xfId="0" applyFont="1" applyBorder="1" applyAlignment="1">
      <alignment horizontal="left" vertical="top" wrapText="1"/>
    </xf>
    <xf numFmtId="0" fontId="0" fillId="10" borderId="27" xfId="0" applyFill="1" applyBorder="1" applyAlignment="1">
      <alignment horizontal="center" vertical="center"/>
    </xf>
    <xf numFmtId="0" fontId="0" fillId="10" borderId="21" xfId="0" applyFill="1" applyBorder="1" applyAlignment="1">
      <alignment horizontal="center" vertical="center"/>
    </xf>
    <xf numFmtId="0" fontId="2" fillId="3" borderId="19" xfId="0" applyFont="1" applyFill="1" applyBorder="1" applyAlignment="1">
      <alignment horizontal="left" vertical="center"/>
    </xf>
    <xf numFmtId="0" fontId="0" fillId="0" borderId="26" xfId="0" applyBorder="1" applyAlignment="1">
      <alignment horizontal="center" wrapText="1"/>
    </xf>
    <xf numFmtId="0" fontId="0" fillId="0" borderId="29" xfId="0" applyBorder="1" applyAlignment="1">
      <alignment horizontal="center" wrapText="1"/>
    </xf>
    <xf numFmtId="0" fontId="0" fillId="0" borderId="20" xfId="0" applyBorder="1" applyAlignment="1">
      <alignment horizontal="center" wrapText="1"/>
    </xf>
    <xf numFmtId="0" fontId="0" fillId="0" borderId="27" xfId="0" applyBorder="1" applyAlignment="1">
      <alignment horizontal="center" vertical="center" wrapText="1"/>
    </xf>
    <xf numFmtId="0" fontId="0" fillId="0" borderId="30" xfId="0" applyBorder="1" applyAlignment="1">
      <alignment horizontal="center" vertical="center" wrapText="1"/>
    </xf>
    <xf numFmtId="0" fontId="0" fillId="0" borderId="21" xfId="0" applyBorder="1" applyAlignment="1">
      <alignment horizontal="center" vertical="center" wrapText="1"/>
    </xf>
    <xf numFmtId="0" fontId="0" fillId="10" borderId="12" xfId="0" applyFill="1" applyBorder="1" applyAlignment="1">
      <alignment horizontal="center" vertical="center"/>
    </xf>
    <xf numFmtId="0" fontId="0" fillId="10" borderId="4" xfId="0" applyFill="1" applyBorder="1" applyAlignment="1">
      <alignment horizontal="center" vertical="center" wrapText="1"/>
    </xf>
    <xf numFmtId="0" fontId="0" fillId="0" borderId="0" xfId="0" applyAlignment="1">
      <alignment horizontal="left" vertical="top"/>
    </xf>
    <xf numFmtId="0" fontId="0" fillId="0" borderId="12" xfId="0" applyBorder="1" applyAlignment="1">
      <alignment horizontal="left" vertical="top"/>
    </xf>
    <xf numFmtId="0" fontId="0" fillId="0" borderId="11" xfId="0" applyBorder="1" applyAlignment="1">
      <alignment horizontal="left" vertical="top"/>
    </xf>
    <xf numFmtId="0" fontId="0" fillId="2" borderId="13" xfId="0" applyFill="1" applyBorder="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0" fillId="8" borderId="0" xfId="0" applyFill="1" applyAlignment="1">
      <alignment horizontal="center" vertical="center"/>
    </xf>
    <xf numFmtId="0" fontId="2" fillId="0" borderId="0" xfId="0" applyFont="1" applyAlignment="1">
      <alignment horizontal="right" vertical="top" wrapText="1"/>
    </xf>
    <xf numFmtId="0" fontId="0" fillId="0" borderId="0" xfId="0" applyAlignment="1">
      <alignment horizontal="right" vertical="top"/>
    </xf>
    <xf numFmtId="164" fontId="0" fillId="8" borderId="12" xfId="0" applyNumberFormat="1" applyFill="1" applyBorder="1" applyAlignment="1">
      <alignment horizontal="center" vertical="center"/>
    </xf>
    <xf numFmtId="0" fontId="0" fillId="8" borderId="12" xfId="0" applyFill="1" applyBorder="1" applyAlignment="1">
      <alignment horizontal="center" vertical="center"/>
    </xf>
    <xf numFmtId="0" fontId="0" fillId="10" borderId="4" xfId="0" applyFill="1" applyBorder="1" applyAlignment="1">
      <alignment horizontal="left" vertical="center" wrapText="1"/>
    </xf>
    <xf numFmtId="0" fontId="0" fillId="10" borderId="4" xfId="0" applyFill="1" applyBorder="1" applyAlignment="1">
      <alignment horizontal="left" vertical="center"/>
    </xf>
    <xf numFmtId="0" fontId="0" fillId="0" borderId="27" xfId="0" applyBorder="1" applyAlignment="1">
      <alignment horizontal="left" vertical="center" wrapText="1"/>
    </xf>
    <xf numFmtId="0" fontId="0" fillId="0" borderId="30" xfId="0" applyBorder="1" applyAlignment="1">
      <alignment horizontal="left" vertical="center" wrapText="1"/>
    </xf>
    <xf numFmtId="0" fontId="0" fillId="0" borderId="21" xfId="0" applyBorder="1" applyAlignment="1">
      <alignment horizontal="left" vertical="center" wrapText="1"/>
    </xf>
    <xf numFmtId="0" fontId="2" fillId="10" borderId="27" xfId="0" applyFont="1" applyFill="1" applyBorder="1" applyAlignment="1">
      <alignment horizontal="left" vertical="top" wrapText="1"/>
    </xf>
    <xf numFmtId="0" fontId="2" fillId="10" borderId="30" xfId="0" applyFont="1" applyFill="1" applyBorder="1" applyAlignment="1">
      <alignment horizontal="left" vertical="top" wrapText="1"/>
    </xf>
    <xf numFmtId="0" fontId="0" fillId="0" borderId="27" xfId="0" applyBorder="1" applyAlignment="1">
      <alignment horizontal="left" vertical="top" wrapText="1"/>
    </xf>
    <xf numFmtId="0" fontId="0" fillId="0" borderId="30" xfId="0" applyBorder="1" applyAlignment="1">
      <alignment horizontal="left" vertical="top" wrapText="1"/>
    </xf>
    <xf numFmtId="0" fontId="0" fillId="0" borderId="21" xfId="0" applyBorder="1" applyAlignment="1">
      <alignment horizontal="left" vertical="top" wrapText="1"/>
    </xf>
    <xf numFmtId="0" fontId="0" fillId="0" borderId="38" xfId="0" applyBorder="1" applyAlignment="1">
      <alignment horizontal="left" vertical="top" wrapText="1"/>
    </xf>
    <xf numFmtId="0" fontId="0" fillId="0" borderId="12"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center" vertical="center" wrapText="1"/>
    </xf>
    <xf numFmtId="0" fontId="2" fillId="3" borderId="35"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1" xfId="0" applyBorder="1" applyAlignment="1">
      <alignment horizontal="center" vertical="center" wrapText="1"/>
    </xf>
    <xf numFmtId="0" fontId="0" fillId="0" borderId="27" xfId="0" quotePrefix="1" applyBorder="1" applyAlignment="1">
      <alignment horizontal="left" vertical="center" wrapText="1"/>
    </xf>
    <xf numFmtId="0" fontId="0" fillId="0" borderId="37" xfId="0" quotePrefix="1" applyBorder="1" applyAlignment="1">
      <alignment horizontal="left" vertical="center"/>
    </xf>
  </cellXfs>
  <cellStyles count="2">
    <cellStyle name="Normal" xfId="0" builtinId="0"/>
    <cellStyle name="Percent" xfId="1" builtinId="5"/>
  </cellStyles>
  <dxfs count="0"/>
  <tableStyles count="0" defaultTableStyle="TableStyleMedium2" defaultPivotStyle="PivotStyleLight16"/>
  <colors>
    <mruColors>
      <color rgb="FF0099D8"/>
      <color rgb="FF6699FF"/>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56445</xdr:colOff>
      <xdr:row>37</xdr:row>
      <xdr:rowOff>49631</xdr:rowOff>
    </xdr:from>
    <xdr:to>
      <xdr:col>7</xdr:col>
      <xdr:colOff>1248834</xdr:colOff>
      <xdr:row>42</xdr:row>
      <xdr:rowOff>474111</xdr:rowOff>
    </xdr:to>
    <xdr:pic>
      <xdr:nvPicPr>
        <xdr:cNvPr id="2" name="Picture 1">
          <a:extLst>
            <a:ext uri="{FF2B5EF4-FFF2-40B4-BE49-F238E27FC236}">
              <a16:creationId xmlns:a16="http://schemas.microsoft.com/office/drawing/2014/main" id="{2AA7B802-691F-FBDD-4C61-B2457DB4BBD2}"/>
            </a:ext>
          </a:extLst>
        </xdr:cNvPr>
        <xdr:cNvPicPr>
          <a:picLocks noChangeAspect="1"/>
        </xdr:cNvPicPr>
      </xdr:nvPicPr>
      <xdr:blipFill>
        <a:blip xmlns:r="http://schemas.openxmlformats.org/officeDocument/2006/relationships" r:embed="rId1"/>
        <a:stretch>
          <a:fillRect/>
        </a:stretch>
      </xdr:blipFill>
      <xdr:spPr>
        <a:xfrm>
          <a:off x="7641167" y="8092964"/>
          <a:ext cx="3640667" cy="2329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35774</xdr:colOff>
      <xdr:row>8</xdr:row>
      <xdr:rowOff>26830</xdr:rowOff>
    </xdr:from>
    <xdr:to>
      <xdr:col>2</xdr:col>
      <xdr:colOff>2684476</xdr:colOff>
      <xdr:row>13</xdr:row>
      <xdr:rowOff>122036</xdr:rowOff>
    </xdr:to>
    <xdr:pic>
      <xdr:nvPicPr>
        <xdr:cNvPr id="2" name="Picture 1">
          <a:extLst>
            <a:ext uri="{FF2B5EF4-FFF2-40B4-BE49-F238E27FC236}">
              <a16:creationId xmlns:a16="http://schemas.microsoft.com/office/drawing/2014/main" id="{C6FB9477-6844-E671-29C3-C97F3672DB35}"/>
            </a:ext>
          </a:extLst>
        </xdr:cNvPr>
        <xdr:cNvPicPr>
          <a:picLocks noChangeAspect="1"/>
        </xdr:cNvPicPr>
      </xdr:nvPicPr>
      <xdr:blipFill>
        <a:blip xmlns:r="http://schemas.openxmlformats.org/officeDocument/2006/relationships" r:embed="rId1"/>
        <a:stretch>
          <a:fillRect/>
        </a:stretch>
      </xdr:blipFill>
      <xdr:spPr>
        <a:xfrm>
          <a:off x="4373450" y="1833450"/>
          <a:ext cx="2648702" cy="1082184"/>
        </a:xfrm>
        <a:prstGeom prst="rect">
          <a:avLst/>
        </a:prstGeom>
      </xdr:spPr>
    </xdr:pic>
    <xdr:clientData/>
  </xdr:twoCellAnchor>
  <xdr:twoCellAnchor editAs="oneCell">
    <xdr:from>
      <xdr:col>2</xdr:col>
      <xdr:colOff>35775</xdr:colOff>
      <xdr:row>20</xdr:row>
      <xdr:rowOff>44720</xdr:rowOff>
    </xdr:from>
    <xdr:to>
      <xdr:col>2</xdr:col>
      <xdr:colOff>2674721</xdr:colOff>
      <xdr:row>24</xdr:row>
      <xdr:rowOff>19887</xdr:rowOff>
    </xdr:to>
    <xdr:pic>
      <xdr:nvPicPr>
        <xdr:cNvPr id="3" name="Picture 2">
          <a:extLst>
            <a:ext uri="{FF2B5EF4-FFF2-40B4-BE49-F238E27FC236}">
              <a16:creationId xmlns:a16="http://schemas.microsoft.com/office/drawing/2014/main" id="{41BA5631-BF97-4A89-69D6-628EF12CC311}"/>
            </a:ext>
          </a:extLst>
        </xdr:cNvPr>
        <xdr:cNvPicPr>
          <a:picLocks noChangeAspect="1"/>
        </xdr:cNvPicPr>
      </xdr:nvPicPr>
      <xdr:blipFill rotWithShape="1">
        <a:blip xmlns:r="http://schemas.openxmlformats.org/officeDocument/2006/relationships" r:embed="rId2"/>
        <a:srcRect l="3387" r="2188"/>
        <a:stretch>
          <a:fillRect/>
        </a:stretch>
      </xdr:blipFill>
      <xdr:spPr>
        <a:xfrm>
          <a:off x="4373451" y="4149861"/>
          <a:ext cx="2642121" cy="831759"/>
        </a:xfrm>
        <a:prstGeom prst="rect">
          <a:avLst/>
        </a:prstGeom>
      </xdr:spPr>
    </xdr:pic>
    <xdr:clientData/>
  </xdr:twoCellAnchor>
  <xdr:twoCellAnchor editAs="oneCell">
    <xdr:from>
      <xdr:col>2</xdr:col>
      <xdr:colOff>169929</xdr:colOff>
      <xdr:row>51</xdr:row>
      <xdr:rowOff>393522</xdr:rowOff>
    </xdr:from>
    <xdr:to>
      <xdr:col>2</xdr:col>
      <xdr:colOff>2325353</xdr:colOff>
      <xdr:row>54</xdr:row>
      <xdr:rowOff>180793</xdr:rowOff>
    </xdr:to>
    <xdr:pic>
      <xdr:nvPicPr>
        <xdr:cNvPr id="4" name="Picture 3">
          <a:extLst>
            <a:ext uri="{FF2B5EF4-FFF2-40B4-BE49-F238E27FC236}">
              <a16:creationId xmlns:a16="http://schemas.microsoft.com/office/drawing/2014/main" id="{6A4F4FD0-C5FF-CDA3-DB7B-AAF047BF9ACD}"/>
            </a:ext>
          </a:extLst>
        </xdr:cNvPr>
        <xdr:cNvPicPr>
          <a:picLocks noChangeAspect="1"/>
        </xdr:cNvPicPr>
      </xdr:nvPicPr>
      <xdr:blipFill>
        <a:blip xmlns:r="http://schemas.openxmlformats.org/officeDocument/2006/relationships" r:embed="rId3"/>
        <a:stretch>
          <a:fillRect/>
        </a:stretch>
      </xdr:blipFill>
      <xdr:spPr>
        <a:xfrm>
          <a:off x="4507605" y="12386973"/>
          <a:ext cx="2155424" cy="13850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35774</xdr:colOff>
      <xdr:row>8</xdr:row>
      <xdr:rowOff>26830</xdr:rowOff>
    </xdr:from>
    <xdr:to>
      <xdr:col>2</xdr:col>
      <xdr:colOff>2684476</xdr:colOff>
      <xdr:row>13</xdr:row>
      <xdr:rowOff>122036</xdr:rowOff>
    </xdr:to>
    <xdr:pic>
      <xdr:nvPicPr>
        <xdr:cNvPr id="2" name="Picture 1">
          <a:extLst>
            <a:ext uri="{FF2B5EF4-FFF2-40B4-BE49-F238E27FC236}">
              <a16:creationId xmlns:a16="http://schemas.microsoft.com/office/drawing/2014/main" id="{2385BF97-3AC9-4866-91CC-31CD29192173}"/>
            </a:ext>
          </a:extLst>
        </xdr:cNvPr>
        <xdr:cNvPicPr>
          <a:picLocks noChangeAspect="1"/>
        </xdr:cNvPicPr>
      </xdr:nvPicPr>
      <xdr:blipFill>
        <a:blip xmlns:r="http://schemas.openxmlformats.org/officeDocument/2006/relationships" r:embed="rId1"/>
        <a:stretch>
          <a:fillRect/>
        </a:stretch>
      </xdr:blipFill>
      <xdr:spPr>
        <a:xfrm>
          <a:off x="4372824" y="1823880"/>
          <a:ext cx="2648702" cy="1066756"/>
        </a:xfrm>
        <a:prstGeom prst="rect">
          <a:avLst/>
        </a:prstGeom>
      </xdr:spPr>
    </xdr:pic>
    <xdr:clientData/>
  </xdr:twoCellAnchor>
  <xdr:twoCellAnchor editAs="oneCell">
    <xdr:from>
      <xdr:col>2</xdr:col>
      <xdr:colOff>35775</xdr:colOff>
      <xdr:row>20</xdr:row>
      <xdr:rowOff>44720</xdr:rowOff>
    </xdr:from>
    <xdr:to>
      <xdr:col>2</xdr:col>
      <xdr:colOff>2674721</xdr:colOff>
      <xdr:row>24</xdr:row>
      <xdr:rowOff>19887</xdr:rowOff>
    </xdr:to>
    <xdr:pic>
      <xdr:nvPicPr>
        <xdr:cNvPr id="3" name="Picture 2">
          <a:extLst>
            <a:ext uri="{FF2B5EF4-FFF2-40B4-BE49-F238E27FC236}">
              <a16:creationId xmlns:a16="http://schemas.microsoft.com/office/drawing/2014/main" id="{E49F39D2-2B28-4946-B911-ED5D92883BDB}"/>
            </a:ext>
          </a:extLst>
        </xdr:cNvPr>
        <xdr:cNvPicPr>
          <a:picLocks noChangeAspect="1"/>
        </xdr:cNvPicPr>
      </xdr:nvPicPr>
      <xdr:blipFill rotWithShape="1">
        <a:blip xmlns:r="http://schemas.openxmlformats.org/officeDocument/2006/relationships" r:embed="rId2"/>
        <a:srcRect l="3387" r="2188"/>
        <a:stretch>
          <a:fillRect/>
        </a:stretch>
      </xdr:blipFill>
      <xdr:spPr>
        <a:xfrm>
          <a:off x="4372825" y="4248420"/>
          <a:ext cx="2638946" cy="807017"/>
        </a:xfrm>
        <a:prstGeom prst="rect">
          <a:avLst/>
        </a:prstGeom>
      </xdr:spPr>
    </xdr:pic>
    <xdr:clientData/>
  </xdr:twoCellAnchor>
  <xdr:twoCellAnchor editAs="oneCell">
    <xdr:from>
      <xdr:col>2</xdr:col>
      <xdr:colOff>169929</xdr:colOff>
      <xdr:row>51</xdr:row>
      <xdr:rowOff>393522</xdr:rowOff>
    </xdr:from>
    <xdr:to>
      <xdr:col>2</xdr:col>
      <xdr:colOff>2325353</xdr:colOff>
      <xdr:row>54</xdr:row>
      <xdr:rowOff>180793</xdr:rowOff>
    </xdr:to>
    <xdr:pic>
      <xdr:nvPicPr>
        <xdr:cNvPr id="4" name="Picture 3">
          <a:extLst>
            <a:ext uri="{FF2B5EF4-FFF2-40B4-BE49-F238E27FC236}">
              <a16:creationId xmlns:a16="http://schemas.microsoft.com/office/drawing/2014/main" id="{6295A0EA-2FD0-49BB-933B-A91A9369D1F0}"/>
            </a:ext>
          </a:extLst>
        </xdr:cNvPr>
        <xdr:cNvPicPr>
          <a:picLocks noChangeAspect="1"/>
        </xdr:cNvPicPr>
      </xdr:nvPicPr>
      <xdr:blipFill>
        <a:blip xmlns:r="http://schemas.openxmlformats.org/officeDocument/2006/relationships" r:embed="rId3"/>
        <a:stretch>
          <a:fillRect/>
        </a:stretch>
      </xdr:blipFill>
      <xdr:spPr>
        <a:xfrm>
          <a:off x="4506979" y="12452172"/>
          <a:ext cx="2155424" cy="13874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102184</xdr:colOff>
      <xdr:row>7</xdr:row>
      <xdr:rowOff>131379</xdr:rowOff>
    </xdr:from>
    <xdr:to>
      <xdr:col>2</xdr:col>
      <xdr:colOff>2591093</xdr:colOff>
      <xdr:row>13</xdr:row>
      <xdr:rowOff>2491</xdr:rowOff>
    </xdr:to>
    <xdr:pic>
      <xdr:nvPicPr>
        <xdr:cNvPr id="5" name="Picture 4">
          <a:extLst>
            <a:ext uri="{FF2B5EF4-FFF2-40B4-BE49-F238E27FC236}">
              <a16:creationId xmlns:a16="http://schemas.microsoft.com/office/drawing/2014/main" id="{A59EF543-9A90-5BA9-DEB2-743A09C72909}"/>
            </a:ext>
          </a:extLst>
        </xdr:cNvPr>
        <xdr:cNvPicPr>
          <a:picLocks noChangeAspect="1"/>
        </xdr:cNvPicPr>
      </xdr:nvPicPr>
      <xdr:blipFill>
        <a:blip xmlns:r="http://schemas.openxmlformats.org/officeDocument/2006/relationships" r:embed="rId1"/>
        <a:stretch>
          <a:fillRect/>
        </a:stretch>
      </xdr:blipFill>
      <xdr:spPr>
        <a:xfrm>
          <a:off x="4437701" y="1649540"/>
          <a:ext cx="2488909" cy="1113821"/>
        </a:xfrm>
        <a:prstGeom prst="rect">
          <a:avLst/>
        </a:prstGeom>
      </xdr:spPr>
    </xdr:pic>
    <xdr:clientData/>
  </xdr:twoCellAnchor>
  <xdr:twoCellAnchor>
    <xdr:from>
      <xdr:col>2</xdr:col>
      <xdr:colOff>87587</xdr:colOff>
      <xdr:row>46</xdr:row>
      <xdr:rowOff>480846</xdr:rowOff>
    </xdr:from>
    <xdr:to>
      <xdr:col>2</xdr:col>
      <xdr:colOff>2546423</xdr:colOff>
      <xdr:row>48</xdr:row>
      <xdr:rowOff>65689</xdr:rowOff>
    </xdr:to>
    <xdr:grpSp>
      <xdr:nvGrpSpPr>
        <xdr:cNvPr id="11" name="Group 10">
          <a:extLst>
            <a:ext uri="{FF2B5EF4-FFF2-40B4-BE49-F238E27FC236}">
              <a16:creationId xmlns:a16="http://schemas.microsoft.com/office/drawing/2014/main" id="{D97BE117-02D3-EB82-C916-5F83C85BA977}"/>
            </a:ext>
          </a:extLst>
        </xdr:cNvPr>
        <xdr:cNvGrpSpPr/>
      </xdr:nvGrpSpPr>
      <xdr:grpSpPr>
        <a:xfrm>
          <a:off x="4422152" y="11846426"/>
          <a:ext cx="2458836" cy="891654"/>
          <a:chOff x="4423104" y="11742972"/>
          <a:chExt cx="2458836" cy="898637"/>
        </a:xfrm>
      </xdr:grpSpPr>
      <xdr:pic>
        <xdr:nvPicPr>
          <xdr:cNvPr id="6" name="Picture 5">
            <a:extLst>
              <a:ext uri="{FF2B5EF4-FFF2-40B4-BE49-F238E27FC236}">
                <a16:creationId xmlns:a16="http://schemas.microsoft.com/office/drawing/2014/main" id="{D2632E12-579A-6B39-9F9F-9E880794A401}"/>
              </a:ext>
            </a:extLst>
          </xdr:cNvPr>
          <xdr:cNvPicPr>
            <a:picLocks noChangeAspect="1"/>
          </xdr:cNvPicPr>
        </xdr:nvPicPr>
        <xdr:blipFill rotWithShape="1">
          <a:blip xmlns:r="http://schemas.openxmlformats.org/officeDocument/2006/relationships" r:embed="rId2"/>
          <a:srcRect l="6307" r="48954" b="3965"/>
          <a:stretch>
            <a:fillRect/>
          </a:stretch>
        </xdr:blipFill>
        <xdr:spPr>
          <a:xfrm>
            <a:off x="4423104" y="11743849"/>
            <a:ext cx="1394080" cy="897760"/>
          </a:xfrm>
          <a:prstGeom prst="rect">
            <a:avLst/>
          </a:prstGeom>
        </xdr:spPr>
      </xdr:pic>
      <xdr:pic>
        <xdr:nvPicPr>
          <xdr:cNvPr id="7" name="Picture 6">
            <a:extLst>
              <a:ext uri="{FF2B5EF4-FFF2-40B4-BE49-F238E27FC236}">
                <a16:creationId xmlns:a16="http://schemas.microsoft.com/office/drawing/2014/main" id="{8D6A0B80-7441-43B4-9E4A-06BC421A75FD}"/>
              </a:ext>
            </a:extLst>
          </xdr:cNvPr>
          <xdr:cNvPicPr>
            <a:picLocks noChangeAspect="1"/>
          </xdr:cNvPicPr>
        </xdr:nvPicPr>
        <xdr:blipFill rotWithShape="1">
          <a:blip xmlns:r="http://schemas.openxmlformats.org/officeDocument/2006/relationships" r:embed="rId2"/>
          <a:srcRect l="65362" b="3871"/>
          <a:stretch>
            <a:fillRect/>
          </a:stretch>
        </xdr:blipFill>
        <xdr:spPr>
          <a:xfrm>
            <a:off x="5802586" y="11742972"/>
            <a:ext cx="1079354" cy="898637"/>
          </a:xfrm>
          <a:prstGeom prst="rect">
            <a:avLst/>
          </a:prstGeom>
        </xdr:spPr>
      </xdr:pic>
    </xdr:grpSp>
    <xdr:clientData/>
  </xdr:twoCellAnchor>
  <xdr:twoCellAnchor editAs="oneCell">
    <xdr:from>
      <xdr:col>2</xdr:col>
      <xdr:colOff>43795</xdr:colOff>
      <xdr:row>48</xdr:row>
      <xdr:rowOff>233562</xdr:rowOff>
    </xdr:from>
    <xdr:to>
      <xdr:col>2</xdr:col>
      <xdr:colOff>2642185</xdr:colOff>
      <xdr:row>50</xdr:row>
      <xdr:rowOff>7298</xdr:rowOff>
    </xdr:to>
    <xdr:pic>
      <xdr:nvPicPr>
        <xdr:cNvPr id="10" name="Picture 9">
          <a:extLst>
            <a:ext uri="{FF2B5EF4-FFF2-40B4-BE49-F238E27FC236}">
              <a16:creationId xmlns:a16="http://schemas.microsoft.com/office/drawing/2014/main" id="{4CAC6C2D-E171-2E6F-7D06-F4E1A629FF32}"/>
            </a:ext>
          </a:extLst>
        </xdr:cNvPr>
        <xdr:cNvPicPr>
          <a:picLocks noChangeAspect="1"/>
        </xdr:cNvPicPr>
      </xdr:nvPicPr>
      <xdr:blipFill>
        <a:blip xmlns:r="http://schemas.openxmlformats.org/officeDocument/2006/relationships" r:embed="rId3"/>
        <a:stretch>
          <a:fillRect/>
        </a:stretch>
      </xdr:blipFill>
      <xdr:spPr>
        <a:xfrm>
          <a:off x="4379312" y="12809482"/>
          <a:ext cx="2598390" cy="43793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utri Anindya Sugiarti" id="{A1D4A724-F731-46BF-8CA8-ACAA5591EA49}" userId="S::putri_sugiarti@bcalife.co.id::99897442-ba92-4a99-89b5-5cf21550ddc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7" dT="2026-02-04T04:21:29.10" personId="{A1D4A724-F731-46BF-8CA8-ACAA5591EA49}" id="{571C4063-5327-45A0-BFAC-AC46EADBC937}">
    <text>Premi awal</text>
  </threadedComment>
  <threadedComment ref="I28" dT="2026-01-23T07:16:22.32" personId="{A1D4A724-F731-46BF-8CA8-ACAA5591EA49}" id="{19018EFD-4BE2-403B-B3C5-B41CC26A0E72}">
    <text>Secara benefit Manfaat Meninggal Dunia produk STAR lebih unggul apabila terjadi di tahun polis awal, karena sebesar 100% UP. Sedangkan Allianz hanya sebesar 105% ROP</text>
  </threadedComment>
  <threadedComment ref="C29" dT="2026-02-04T01:43:06.06" personId="{A1D4A724-F731-46BF-8CA8-ACAA5591EA49}" id="{3D4E61B9-8D0E-4F6F-AD22-D9A2242E437C}">
    <text>Lebih unggul karena angioplasty tidak mengurangi manfaat advanced CI</text>
  </threadedComment>
  <threadedComment ref="C33" dT="2026-02-04T05:47:24.38" personId="{A1D4A724-F731-46BF-8CA8-ACAA5591EA49}" id="{09515E00-7944-4ADD-AAF5-F52A939E026C}">
    <text>Tidak dikurangi dengan manfaat2 lain</text>
  </threadedComment>
</ThreadedComments>
</file>

<file path=xl/threadedComments/threadedComment2.xml><?xml version="1.0" encoding="utf-8"?>
<ThreadedComments xmlns="http://schemas.microsoft.com/office/spreadsheetml/2018/threadedcomments" xmlns:x="http://schemas.openxmlformats.org/spreadsheetml/2006/main">
  <threadedComment ref="H8" dT="2026-02-04T04:22:53.66" personId="{A1D4A724-F731-46BF-8CA8-ACAA5591EA49}" id="{C6E2B0A2-42D9-4E22-AAB2-381B832BB8B1}">
    <text>Premi awal</text>
  </threadedComment>
  <threadedComment ref="I23" dT="2026-01-25T04:24:32.82" personId="{A1D4A724-F731-46BF-8CA8-ACAA5591EA49}" id="{2716D34C-DF2C-42B4-8C4F-893A87EA084C}">
    <text>100% UP + 100% ROP. Pembayaran Manfaat ini pada manulife tidak dikurangi manfaat angioplasty, dan ICU</text>
  </threadedComment>
  <threadedComment ref="I27" dT="2026-02-04T02:23:41.82" personId="{A1D4A724-F731-46BF-8CA8-ACAA5591EA49}" id="{F9BE41EA-AEF9-4530-8E00-1651E8BA8F75}">
    <text>Kalo MD sebelum ada klaim, STAR memungkinkan lebih tinggi</text>
  </threadedComment>
</ThreadedComments>
</file>

<file path=xl/threadedComments/threadedComment3.xml><?xml version="1.0" encoding="utf-8"?>
<ThreadedComments xmlns="http://schemas.microsoft.com/office/spreadsheetml/2018/threadedcomments" xmlns:x="http://schemas.openxmlformats.org/spreadsheetml/2006/main">
  <threadedComment ref="H25" dT="2026-02-04T03:11:17.28" personId="{A1D4A724-F731-46BF-8CA8-ACAA5591EA49}" id="{7A5A9F79-86C3-44D6-8AA6-A9E12C41697A}">
    <text>UP tidak mencukupi untuk membayar Manfaat MD, karena Manfaat MD dikurangi dengan Early CI, Angioplasty, dan ICU</text>
  </threadedComment>
  <threadedComment ref="C41" dT="2026-01-28T09:03:30.24" personId="{A1D4A724-F731-46BF-8CA8-ACAA5591EA49}" id="{C29681C6-2DFA-43AE-B315-C68E552852B5}">
    <text>Polis tidak berakhir setelah manfaat advanced CI dibayarkan</text>
  </threadedComment>
  <threadedComment ref="C45" dT="2026-02-04T03:03:36.45" personId="{A1D4A724-F731-46BF-8CA8-ACAA5591EA49}" id="{0078A084-BC55-4C26-BE89-D4E6ED6223B0}">
    <text xml:space="preserve">Tidak dikurangi manfaat yang telah dibayarkan </text>
  </threadedComment>
</ThreadedComments>
</file>

<file path=xl/threadedComments/threadedComment4.xml><?xml version="1.0" encoding="utf-8"?>
<ThreadedComments xmlns="http://schemas.microsoft.com/office/spreadsheetml/2018/threadedcomments" xmlns:x="http://schemas.openxmlformats.org/spreadsheetml/2006/main">
  <threadedComment ref="H25" dT="2026-02-04T03:11:17.28" personId="{A1D4A724-F731-46BF-8CA8-ACAA5591EA49}" id="{FF5F91B7-E0D5-40F1-B126-CB3DF81B1648}">
    <text>UP tidak mencukupi untuk membayar Manfaat MD, karena Manfaat MD dikurangi dengan Early CI, Angioplasty, dan ICU</text>
  </threadedComment>
  <threadedComment ref="C41" dT="2026-01-28T09:03:30.24" personId="{A1D4A724-F731-46BF-8CA8-ACAA5591EA49}" id="{CDB183CD-E8F1-4C54-9FA3-2DF44C5B1AA5}">
    <text>Polis tidak berakhir setelah manfaat advanced CI dibayarkan</text>
  </threadedComment>
  <threadedComment ref="C45" dT="2026-02-04T03:03:36.45" personId="{A1D4A724-F731-46BF-8CA8-ACAA5591EA49}" id="{C7D4B3B0-7BCE-4FA2-9293-A83552C47135}">
    <text xml:space="preserve">Tidak dikurangi manfaat yang telah dibayarkan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5083-34BF-42D0-BF65-DBA89E53EED4}">
  <dimension ref="A1:T39"/>
  <sheetViews>
    <sheetView tabSelected="1" topLeftCell="A16" zoomScale="89" zoomScaleNormal="85" workbookViewId="0">
      <selection activeCell="I28" sqref="I28:I30"/>
    </sheetView>
  </sheetViews>
  <sheetFormatPr defaultRowHeight="14.5" x14ac:dyDescent="0.35"/>
  <cols>
    <col min="1" max="1" width="26.26953125" customWidth="1"/>
    <col min="2" max="2" width="34.6328125" customWidth="1"/>
    <col min="3" max="3" width="32.7265625" customWidth="1"/>
    <col min="4" max="4" width="5.6328125" customWidth="1"/>
    <col min="5" max="5" width="2.453125" style="20" customWidth="1"/>
    <col min="6" max="6" width="5.6328125" customWidth="1"/>
    <col min="7" max="7" width="35.08984375" customWidth="1"/>
    <col min="8" max="8" width="25.81640625" customWidth="1"/>
    <col min="9" max="9" width="32.1796875" customWidth="1"/>
    <col min="10" max="10" width="5.6328125" customWidth="1"/>
    <col min="11" max="11" width="2.453125" style="20" customWidth="1"/>
    <col min="12" max="12" width="5.6328125" customWidth="1"/>
  </cols>
  <sheetData>
    <row r="1" spans="1:20" ht="15" thickBot="1" x14ac:dyDescent="0.4">
      <c r="A1" s="132" t="s">
        <v>26</v>
      </c>
      <c r="B1" s="133"/>
      <c r="C1" s="134"/>
      <c r="G1" s="137" t="s">
        <v>61</v>
      </c>
      <c r="H1" s="138"/>
      <c r="I1" s="139"/>
      <c r="M1" s="137" t="s">
        <v>124</v>
      </c>
      <c r="N1" s="138"/>
      <c r="O1" s="138"/>
      <c r="P1" s="138"/>
      <c r="Q1" s="138"/>
      <c r="R1" s="138"/>
      <c r="S1" s="138"/>
      <c r="T1" s="139"/>
    </row>
    <row r="2" spans="1:20" ht="16" customHeight="1" x14ac:dyDescent="0.35">
      <c r="A2" s="13" t="s">
        <v>0</v>
      </c>
      <c r="B2" s="62" t="s">
        <v>12</v>
      </c>
      <c r="C2" s="63" t="s">
        <v>13</v>
      </c>
      <c r="G2" s="9"/>
      <c r="H2" s="30" t="s">
        <v>28</v>
      </c>
      <c r="I2" s="31" t="s">
        <v>15</v>
      </c>
      <c r="M2" s="150" t="s">
        <v>123</v>
      </c>
      <c r="N2" s="144"/>
      <c r="O2" s="144"/>
      <c r="P2" s="144"/>
      <c r="Q2" s="144"/>
      <c r="R2" s="144"/>
      <c r="S2" s="144"/>
      <c r="T2" s="145"/>
    </row>
    <row r="3" spans="1:20" x14ac:dyDescent="0.35">
      <c r="A3" s="14" t="s">
        <v>1</v>
      </c>
      <c r="B3" s="2" t="s">
        <v>14</v>
      </c>
      <c r="C3" s="4" t="s">
        <v>15</v>
      </c>
      <c r="G3" s="9" t="s">
        <v>53</v>
      </c>
      <c r="H3" s="1" t="s">
        <v>54</v>
      </c>
      <c r="I3" s="10" t="s">
        <v>54</v>
      </c>
      <c r="M3" s="143"/>
      <c r="N3" s="144"/>
      <c r="O3" s="144"/>
      <c r="P3" s="144"/>
      <c r="Q3" s="144"/>
      <c r="R3" s="144"/>
      <c r="S3" s="144"/>
      <c r="T3" s="145"/>
    </row>
    <row r="4" spans="1:20" ht="16" customHeight="1" x14ac:dyDescent="0.35">
      <c r="A4" s="14" t="s">
        <v>2</v>
      </c>
      <c r="B4" s="2" t="s">
        <v>16</v>
      </c>
      <c r="C4" s="4" t="s">
        <v>16</v>
      </c>
      <c r="G4" s="9" t="s">
        <v>8</v>
      </c>
      <c r="H4" s="1" t="s">
        <v>52</v>
      </c>
      <c r="I4" s="10" t="s">
        <v>52</v>
      </c>
      <c r="M4" s="143"/>
      <c r="N4" s="144"/>
      <c r="O4" s="144"/>
      <c r="P4" s="144"/>
      <c r="Q4" s="144"/>
      <c r="R4" s="144"/>
      <c r="S4" s="144"/>
      <c r="T4" s="145"/>
    </row>
    <row r="5" spans="1:20" ht="18.5" customHeight="1" x14ac:dyDescent="0.35">
      <c r="A5" s="14" t="s">
        <v>3</v>
      </c>
      <c r="B5" s="2" t="s">
        <v>17</v>
      </c>
      <c r="C5" s="4" t="s">
        <v>18</v>
      </c>
      <c r="G5" s="149" t="s">
        <v>7</v>
      </c>
      <c r="H5" s="95">
        <v>1000000000</v>
      </c>
      <c r="I5" s="22" t="s">
        <v>56</v>
      </c>
      <c r="M5" s="143"/>
      <c r="N5" s="144"/>
      <c r="O5" s="144"/>
      <c r="P5" s="144"/>
      <c r="Q5" s="144"/>
      <c r="R5" s="144"/>
      <c r="S5" s="144"/>
      <c r="T5" s="145"/>
    </row>
    <row r="6" spans="1:20" ht="20" customHeight="1" x14ac:dyDescent="0.35">
      <c r="A6" s="67" t="s">
        <v>4</v>
      </c>
      <c r="B6" s="65" t="s">
        <v>19</v>
      </c>
      <c r="C6" s="66" t="s">
        <v>31</v>
      </c>
      <c r="G6" s="149"/>
      <c r="H6" s="95"/>
      <c r="I6" s="61" t="s">
        <v>57</v>
      </c>
      <c r="M6" s="143"/>
      <c r="N6" s="144"/>
      <c r="O6" s="144"/>
      <c r="P6" s="144"/>
      <c r="Q6" s="144"/>
      <c r="R6" s="144"/>
      <c r="S6" s="144"/>
      <c r="T6" s="145"/>
    </row>
    <row r="7" spans="1:20" ht="21.5" customHeight="1" x14ac:dyDescent="0.35">
      <c r="A7" s="67"/>
      <c r="B7" s="65"/>
      <c r="C7" s="66"/>
      <c r="G7" s="9" t="s">
        <v>51</v>
      </c>
      <c r="H7" s="48">
        <v>19220000</v>
      </c>
      <c r="I7" s="25">
        <v>27927000</v>
      </c>
      <c r="M7" s="143"/>
      <c r="N7" s="144"/>
      <c r="O7" s="144"/>
      <c r="P7" s="144"/>
      <c r="Q7" s="144"/>
      <c r="R7" s="144"/>
      <c r="S7" s="144"/>
      <c r="T7" s="145"/>
    </row>
    <row r="8" spans="1:20" ht="21.5" customHeight="1" x14ac:dyDescent="0.35">
      <c r="A8" s="67"/>
      <c r="B8" s="65"/>
      <c r="C8" s="66"/>
      <c r="G8" s="9" t="s">
        <v>5</v>
      </c>
      <c r="H8" s="1" t="s">
        <v>22</v>
      </c>
      <c r="I8" s="25" t="s">
        <v>114</v>
      </c>
      <c r="M8" s="143"/>
      <c r="N8" s="144"/>
      <c r="O8" s="144"/>
      <c r="P8" s="144"/>
      <c r="Q8" s="144"/>
      <c r="R8" s="144"/>
      <c r="S8" s="144"/>
      <c r="T8" s="145"/>
    </row>
    <row r="9" spans="1:20" x14ac:dyDescent="0.35">
      <c r="A9" s="14" t="s">
        <v>5</v>
      </c>
      <c r="B9" s="2" t="s">
        <v>22</v>
      </c>
      <c r="C9" s="4" t="s">
        <v>32</v>
      </c>
      <c r="G9" s="9" t="s">
        <v>92</v>
      </c>
      <c r="H9" s="21">
        <v>865640000</v>
      </c>
      <c r="I9" s="55">
        <f>I7*15</f>
        <v>418905000</v>
      </c>
      <c r="M9" s="143"/>
      <c r="N9" s="144"/>
      <c r="O9" s="144"/>
      <c r="P9" s="144"/>
      <c r="Q9" s="144"/>
      <c r="R9" s="144"/>
      <c r="S9" s="144"/>
      <c r="T9" s="145"/>
    </row>
    <row r="10" spans="1:20" x14ac:dyDescent="0.35">
      <c r="A10" s="14" t="s">
        <v>6</v>
      </c>
      <c r="B10" s="2" t="s">
        <v>23</v>
      </c>
      <c r="C10" s="39" t="s">
        <v>120</v>
      </c>
      <c r="G10" s="125" t="s">
        <v>67</v>
      </c>
      <c r="H10" s="126"/>
      <c r="I10" s="127"/>
      <c r="M10" s="143"/>
      <c r="N10" s="144"/>
      <c r="O10" s="144"/>
      <c r="P10" s="144"/>
      <c r="Q10" s="144"/>
      <c r="R10" s="144"/>
      <c r="S10" s="144"/>
      <c r="T10" s="145"/>
    </row>
    <row r="11" spans="1:20" ht="18" customHeight="1" x14ac:dyDescent="0.35">
      <c r="A11" s="82" t="s">
        <v>7</v>
      </c>
      <c r="B11" s="3" t="s">
        <v>33</v>
      </c>
      <c r="C11" s="151" t="s">
        <v>75</v>
      </c>
      <c r="G11" s="32" t="s">
        <v>59</v>
      </c>
      <c r="H11" s="107" t="s">
        <v>68</v>
      </c>
      <c r="I11" s="108"/>
      <c r="M11" s="128"/>
      <c r="N11" s="129"/>
      <c r="O11" s="129"/>
      <c r="P11" s="129"/>
      <c r="Q11" s="129"/>
      <c r="R11" s="129"/>
      <c r="S11" s="129"/>
      <c r="T11" s="130"/>
    </row>
    <row r="12" spans="1:20" ht="15" customHeight="1" x14ac:dyDescent="0.35">
      <c r="A12" s="153"/>
      <c r="B12" s="3" t="s">
        <v>34</v>
      </c>
      <c r="C12" s="152"/>
      <c r="G12" s="101" t="s">
        <v>115</v>
      </c>
      <c r="H12" s="95">
        <f>25%*H5</f>
        <v>250000000</v>
      </c>
      <c r="I12" s="131">
        <f>25%*1500000000</f>
        <v>375000000</v>
      </c>
      <c r="K12" s="20" t="s">
        <v>50</v>
      </c>
      <c r="M12" s="123" t="s">
        <v>128</v>
      </c>
      <c r="N12" s="162"/>
      <c r="O12" s="162"/>
      <c r="P12" s="162"/>
      <c r="Q12" s="162"/>
      <c r="R12" s="162"/>
      <c r="S12" s="162"/>
      <c r="T12" s="163"/>
    </row>
    <row r="13" spans="1:20" ht="14.5" customHeight="1" x14ac:dyDescent="0.35">
      <c r="A13" s="67" t="s">
        <v>8</v>
      </c>
      <c r="B13" s="69" t="s">
        <v>20</v>
      </c>
      <c r="C13" s="4" t="s">
        <v>35</v>
      </c>
      <c r="G13" s="101"/>
      <c r="H13" s="95"/>
      <c r="I13" s="131"/>
      <c r="M13" s="164"/>
      <c r="N13" s="162"/>
      <c r="O13" s="162"/>
      <c r="P13" s="162"/>
      <c r="Q13" s="162"/>
      <c r="R13" s="162"/>
      <c r="S13" s="162"/>
      <c r="T13" s="163"/>
    </row>
    <row r="14" spans="1:20" ht="14.5" customHeight="1" x14ac:dyDescent="0.35">
      <c r="A14" s="67"/>
      <c r="B14" s="69"/>
      <c r="C14" s="4" t="s">
        <v>36</v>
      </c>
      <c r="G14" s="9"/>
      <c r="H14" s="107" t="s">
        <v>48</v>
      </c>
      <c r="I14" s="108"/>
      <c r="M14" s="164"/>
      <c r="N14" s="162"/>
      <c r="O14" s="162"/>
      <c r="P14" s="162"/>
      <c r="Q14" s="162"/>
      <c r="R14" s="162"/>
      <c r="S14" s="162"/>
      <c r="T14" s="163"/>
    </row>
    <row r="15" spans="1:20" x14ac:dyDescent="0.35">
      <c r="A15" s="67"/>
      <c r="B15" s="69"/>
      <c r="C15" s="4" t="s">
        <v>37</v>
      </c>
      <c r="G15" s="101" t="s">
        <v>58</v>
      </c>
      <c r="H15" s="95">
        <f>25%*H5</f>
        <v>250000000</v>
      </c>
      <c r="I15" s="92">
        <f>H15</f>
        <v>250000000</v>
      </c>
      <c r="M15" s="164"/>
      <c r="N15" s="162"/>
      <c r="O15" s="162"/>
      <c r="P15" s="162"/>
      <c r="Q15" s="162"/>
      <c r="R15" s="162"/>
      <c r="S15" s="162"/>
      <c r="T15" s="163"/>
    </row>
    <row r="16" spans="1:20" x14ac:dyDescent="0.35">
      <c r="A16" s="14" t="s">
        <v>9</v>
      </c>
      <c r="B16" s="2" t="s">
        <v>21</v>
      </c>
      <c r="C16" s="4" t="s">
        <v>21</v>
      </c>
      <c r="G16" s="101"/>
      <c r="H16" s="95"/>
      <c r="I16" s="92"/>
      <c r="M16" s="164"/>
      <c r="N16" s="162"/>
      <c r="O16" s="162"/>
      <c r="P16" s="162"/>
      <c r="Q16" s="162"/>
      <c r="R16" s="162"/>
      <c r="S16" s="162"/>
      <c r="T16" s="163"/>
    </row>
    <row r="17" spans="1:20" x14ac:dyDescent="0.35">
      <c r="A17" s="14" t="s">
        <v>10</v>
      </c>
      <c r="B17" s="2" t="s">
        <v>24</v>
      </c>
      <c r="C17" s="39" t="s">
        <v>75</v>
      </c>
      <c r="G17" s="24"/>
      <c r="I17" s="23"/>
      <c r="M17" s="164"/>
      <c r="N17" s="162"/>
      <c r="O17" s="162"/>
      <c r="P17" s="162"/>
      <c r="Q17" s="162"/>
      <c r="R17" s="162"/>
      <c r="S17" s="162"/>
      <c r="T17" s="163"/>
    </row>
    <row r="18" spans="1:20" ht="14.5" customHeight="1" x14ac:dyDescent="0.35">
      <c r="A18" s="14" t="s">
        <v>11</v>
      </c>
      <c r="B18" s="2" t="s">
        <v>25</v>
      </c>
      <c r="C18" s="4" t="s">
        <v>25</v>
      </c>
      <c r="G18" s="9"/>
      <c r="H18" s="121" t="s">
        <v>63</v>
      </c>
      <c r="I18" s="122"/>
      <c r="M18" s="164"/>
      <c r="N18" s="162"/>
      <c r="O18" s="162"/>
      <c r="P18" s="162"/>
      <c r="Q18" s="162"/>
      <c r="R18" s="162"/>
      <c r="S18" s="162"/>
      <c r="T18" s="163"/>
    </row>
    <row r="19" spans="1:20" ht="15" thickBot="1" x14ac:dyDescent="0.4">
      <c r="A19" s="16" t="s">
        <v>29</v>
      </c>
      <c r="B19" s="5" t="s">
        <v>30</v>
      </c>
      <c r="C19" s="6" t="s">
        <v>38</v>
      </c>
      <c r="G19" s="101" t="s">
        <v>65</v>
      </c>
      <c r="H19" s="102">
        <v>250000000</v>
      </c>
      <c r="I19" s="92" t="s">
        <v>30</v>
      </c>
      <c r="M19" s="164"/>
      <c r="N19" s="162"/>
      <c r="O19" s="162"/>
      <c r="P19" s="162"/>
      <c r="Q19" s="162"/>
      <c r="R19" s="162"/>
      <c r="S19" s="162"/>
      <c r="T19" s="163"/>
    </row>
    <row r="20" spans="1:20" ht="15" thickBot="1" x14ac:dyDescent="0.4">
      <c r="B20" s="1"/>
      <c r="C20" s="1"/>
      <c r="G20" s="101"/>
      <c r="H20" s="102"/>
      <c r="I20" s="92"/>
      <c r="M20" s="164"/>
      <c r="N20" s="162"/>
      <c r="O20" s="162"/>
      <c r="P20" s="162"/>
      <c r="Q20" s="162"/>
      <c r="R20" s="162"/>
      <c r="S20" s="162"/>
      <c r="T20" s="163"/>
    </row>
    <row r="21" spans="1:20" ht="15" thickBot="1" x14ac:dyDescent="0.4">
      <c r="A21" s="98" t="s">
        <v>27</v>
      </c>
      <c r="B21" s="99"/>
      <c r="C21" s="100"/>
      <c r="G21" s="101"/>
      <c r="H21" s="102"/>
      <c r="I21" s="92"/>
      <c r="M21" s="164"/>
      <c r="N21" s="162"/>
      <c r="O21" s="162"/>
      <c r="P21" s="162"/>
      <c r="Q21" s="162"/>
      <c r="R21" s="162"/>
      <c r="S21" s="162"/>
      <c r="T21" s="163"/>
    </row>
    <row r="22" spans="1:20" ht="14.5" customHeight="1" thickBot="1" x14ac:dyDescent="0.4">
      <c r="A22" s="17"/>
      <c r="B22" s="7" t="s">
        <v>28</v>
      </c>
      <c r="C22" s="8" t="s">
        <v>15</v>
      </c>
      <c r="G22" s="24"/>
      <c r="H22" s="21"/>
      <c r="I22" s="25" t="s">
        <v>50</v>
      </c>
      <c r="M22" s="165"/>
      <c r="N22" s="166"/>
      <c r="O22" s="166"/>
      <c r="P22" s="166"/>
      <c r="Q22" s="166"/>
      <c r="R22" s="166"/>
      <c r="S22" s="166"/>
      <c r="T22" s="167"/>
    </row>
    <row r="23" spans="1:20" ht="14.5" customHeight="1" x14ac:dyDescent="0.35">
      <c r="A23" s="67" t="s">
        <v>46</v>
      </c>
      <c r="B23" s="97" t="s">
        <v>121</v>
      </c>
      <c r="C23" s="66" t="s">
        <v>130</v>
      </c>
      <c r="G23" s="34" t="s">
        <v>60</v>
      </c>
      <c r="H23" s="121" t="s">
        <v>47</v>
      </c>
      <c r="I23" s="122"/>
    </row>
    <row r="24" spans="1:20" x14ac:dyDescent="0.35">
      <c r="A24" s="67"/>
      <c r="B24" s="97"/>
      <c r="C24" s="66"/>
      <c r="G24" s="101" t="s">
        <v>62</v>
      </c>
      <c r="H24" s="95">
        <f>H5-H12-H15-H19</f>
        <v>250000000</v>
      </c>
      <c r="I24" s="131">
        <f>1500000000-I12</f>
        <v>1125000000</v>
      </c>
    </row>
    <row r="25" spans="1:20" ht="14.5" customHeight="1" x14ac:dyDescent="0.35">
      <c r="A25" s="67"/>
      <c r="B25" s="97"/>
      <c r="C25" s="66"/>
      <c r="G25" s="101"/>
      <c r="H25" s="91"/>
      <c r="I25" s="160"/>
    </row>
    <row r="26" spans="1:20" ht="18.5" customHeight="1" x14ac:dyDescent="0.35">
      <c r="A26" s="67"/>
      <c r="B26" s="97"/>
      <c r="C26" s="66"/>
      <c r="G26" s="101"/>
      <c r="H26" s="91"/>
      <c r="I26" s="160"/>
    </row>
    <row r="27" spans="1:20" ht="22.5" customHeight="1" x14ac:dyDescent="0.35">
      <c r="A27" s="67"/>
      <c r="B27" s="97"/>
      <c r="C27" s="66"/>
      <c r="G27" s="29"/>
      <c r="H27" s="121" t="s">
        <v>39</v>
      </c>
      <c r="I27" s="122"/>
    </row>
    <row r="28" spans="1:20" x14ac:dyDescent="0.35">
      <c r="A28" s="67"/>
      <c r="B28" s="97"/>
      <c r="C28" s="66"/>
      <c r="G28" s="90" t="s">
        <v>64</v>
      </c>
      <c r="H28" s="95">
        <f>H5-H12-H15-H19</f>
        <v>250000000</v>
      </c>
      <c r="I28" s="131">
        <f>150%*I7*11</f>
        <v>460795500</v>
      </c>
    </row>
    <row r="29" spans="1:20" ht="20.5" customHeight="1" x14ac:dyDescent="0.35">
      <c r="A29" s="96" t="s">
        <v>47</v>
      </c>
      <c r="B29" s="65" t="s">
        <v>122</v>
      </c>
      <c r="C29" s="161" t="s">
        <v>131</v>
      </c>
      <c r="G29" s="90"/>
      <c r="H29" s="91"/>
      <c r="I29" s="160"/>
    </row>
    <row r="30" spans="1:20" ht="26" customHeight="1" x14ac:dyDescent="0.35">
      <c r="A30" s="96"/>
      <c r="B30" s="65"/>
      <c r="C30" s="161"/>
      <c r="G30" s="90"/>
      <c r="H30" s="91"/>
      <c r="I30" s="160"/>
    </row>
    <row r="31" spans="1:20" ht="26.5" customHeight="1" x14ac:dyDescent="0.35">
      <c r="A31" s="96"/>
      <c r="B31" s="65"/>
      <c r="C31" s="161"/>
      <c r="G31" s="35"/>
      <c r="H31" s="107" t="s">
        <v>49</v>
      </c>
      <c r="I31" s="108"/>
    </row>
    <row r="32" spans="1:20" ht="31" customHeight="1" x14ac:dyDescent="0.35">
      <c r="A32" s="15" t="s">
        <v>48</v>
      </c>
      <c r="B32" s="2" t="s">
        <v>116</v>
      </c>
      <c r="C32" s="56" t="s">
        <v>117</v>
      </c>
      <c r="G32" s="90" t="s">
        <v>66</v>
      </c>
      <c r="H32" s="102">
        <v>535330000</v>
      </c>
      <c r="I32" s="81" t="s">
        <v>30</v>
      </c>
    </row>
    <row r="33" spans="1:9" ht="19" customHeight="1" x14ac:dyDescent="0.35">
      <c r="A33" s="82" t="s">
        <v>39</v>
      </c>
      <c r="B33" s="154" t="s">
        <v>41</v>
      </c>
      <c r="C33" s="157" t="s">
        <v>150</v>
      </c>
      <c r="G33" s="90"/>
      <c r="H33" s="168"/>
      <c r="I33" s="81"/>
    </row>
    <row r="34" spans="1:9" x14ac:dyDescent="0.35">
      <c r="A34" s="83"/>
      <c r="B34" s="155"/>
      <c r="C34" s="158"/>
      <c r="G34" s="9"/>
      <c r="H34" s="107" t="s">
        <v>69</v>
      </c>
      <c r="I34" s="108"/>
    </row>
    <row r="35" spans="1:9" x14ac:dyDescent="0.35">
      <c r="A35" s="153"/>
      <c r="B35" s="156"/>
      <c r="C35" s="159"/>
      <c r="G35" s="90" t="s">
        <v>70</v>
      </c>
      <c r="H35" s="91" t="s">
        <v>30</v>
      </c>
      <c r="I35" s="131">
        <f>100%*I9</f>
        <v>418905000</v>
      </c>
    </row>
    <row r="36" spans="1:9" ht="29" x14ac:dyDescent="0.35">
      <c r="A36" s="18" t="s">
        <v>42</v>
      </c>
      <c r="B36" s="50" t="s">
        <v>43</v>
      </c>
      <c r="C36" s="4" t="s">
        <v>30</v>
      </c>
      <c r="G36" s="90"/>
      <c r="H36" s="91"/>
      <c r="I36" s="160"/>
    </row>
    <row r="37" spans="1:9" ht="19.5" customHeight="1" thickBot="1" x14ac:dyDescent="0.4">
      <c r="A37" s="67" t="s">
        <v>49</v>
      </c>
      <c r="B37" s="97" t="s">
        <v>44</v>
      </c>
      <c r="C37" s="70" t="s">
        <v>30</v>
      </c>
      <c r="G37" s="26"/>
      <c r="H37" s="27"/>
      <c r="I37" s="28"/>
    </row>
    <row r="38" spans="1:9" ht="19.5" customHeight="1" x14ac:dyDescent="0.35">
      <c r="A38" s="67"/>
      <c r="B38" s="97"/>
      <c r="C38" s="70"/>
    </row>
    <row r="39" spans="1:9" ht="43.5" customHeight="1" thickBot="1" x14ac:dyDescent="0.4">
      <c r="A39" s="19" t="s">
        <v>40</v>
      </c>
      <c r="B39" s="11" t="s">
        <v>30</v>
      </c>
      <c r="C39" s="58" t="s">
        <v>45</v>
      </c>
    </row>
  </sheetData>
  <mergeCells count="58">
    <mergeCell ref="M11:T11"/>
    <mergeCell ref="M12:T21"/>
    <mergeCell ref="M22:T22"/>
    <mergeCell ref="G35:G36"/>
    <mergeCell ref="H32:H33"/>
    <mergeCell ref="I32:I33"/>
    <mergeCell ref="H35:H36"/>
    <mergeCell ref="I35:I36"/>
    <mergeCell ref="H31:I31"/>
    <mergeCell ref="G32:G33"/>
    <mergeCell ref="I12:I13"/>
    <mergeCell ref="H14:I14"/>
    <mergeCell ref="H15:H16"/>
    <mergeCell ref="I15:I16"/>
    <mergeCell ref="G15:G16"/>
    <mergeCell ref="I19:I21"/>
    <mergeCell ref="H19:H21"/>
    <mergeCell ref="G19:G21"/>
    <mergeCell ref="G24:G26"/>
    <mergeCell ref="H23:I23"/>
    <mergeCell ref="H24:H26"/>
    <mergeCell ref="I24:I26"/>
    <mergeCell ref="A33:A35"/>
    <mergeCell ref="B33:B35"/>
    <mergeCell ref="C33:C35"/>
    <mergeCell ref="H34:I34"/>
    <mergeCell ref="H27:I27"/>
    <mergeCell ref="G28:G30"/>
    <mergeCell ref="H28:H30"/>
    <mergeCell ref="I28:I30"/>
    <mergeCell ref="C23:C28"/>
    <mergeCell ref="B23:B28"/>
    <mergeCell ref="A23:A28"/>
    <mergeCell ref="C29:C31"/>
    <mergeCell ref="B29:B31"/>
    <mergeCell ref="A29:A31"/>
    <mergeCell ref="H5:H6"/>
    <mergeCell ref="G5:G6"/>
    <mergeCell ref="G12:G13"/>
    <mergeCell ref="H11:I11"/>
    <mergeCell ref="H12:H13"/>
    <mergeCell ref="G10:I10"/>
    <mergeCell ref="M1:T1"/>
    <mergeCell ref="M2:T10"/>
    <mergeCell ref="B37:B38"/>
    <mergeCell ref="C37:C38"/>
    <mergeCell ref="A1:C1"/>
    <mergeCell ref="A21:C21"/>
    <mergeCell ref="B6:B8"/>
    <mergeCell ref="C6:C8"/>
    <mergeCell ref="A6:A8"/>
    <mergeCell ref="B13:B15"/>
    <mergeCell ref="A13:A15"/>
    <mergeCell ref="C11:C12"/>
    <mergeCell ref="G1:I1"/>
    <mergeCell ref="H18:I18"/>
    <mergeCell ref="A37:A38"/>
    <mergeCell ref="A11:A12"/>
  </mergeCells>
  <pageMargins left="0.7" right="0.7" top="0.75" bottom="0.75" header="0.3" footer="0.3"/>
  <headerFooter>
    <oddFooter>&amp;C_x000D_&amp;1#&amp;"Aptos"&amp;10&amp;K008000 INTERNAL</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3162-B1FA-479A-858E-2B7A36CEF1F0}">
  <dimension ref="A1:T43"/>
  <sheetViews>
    <sheetView zoomScale="90" workbookViewId="0">
      <selection activeCell="C32" sqref="C32:C34"/>
    </sheetView>
  </sheetViews>
  <sheetFormatPr defaultRowHeight="14.5" x14ac:dyDescent="0.35"/>
  <cols>
    <col min="1" max="1" width="26.26953125" customWidth="1"/>
    <col min="2" max="2" width="35.81640625" customWidth="1"/>
    <col min="3" max="3" width="32.7265625" customWidth="1"/>
    <col min="4" max="4" width="5.6328125" customWidth="1"/>
    <col min="5" max="5" width="2.453125" style="20" customWidth="1"/>
    <col min="6" max="6" width="5.6328125" customWidth="1"/>
    <col min="7" max="7" width="35.08984375" customWidth="1"/>
    <col min="8" max="8" width="25.81640625" customWidth="1"/>
    <col min="9" max="9" width="32.1796875" customWidth="1"/>
    <col min="10" max="10" width="5.6328125" customWidth="1"/>
    <col min="11" max="11" width="2.453125" style="20" customWidth="1"/>
    <col min="12" max="12" width="5.6328125" customWidth="1"/>
    <col min="13" max="13" width="15.26953125" bestFit="1" customWidth="1"/>
  </cols>
  <sheetData>
    <row r="1" spans="1:20" ht="15" thickBot="1" x14ac:dyDescent="0.4">
      <c r="A1" s="132" t="s">
        <v>26</v>
      </c>
      <c r="B1" s="133"/>
      <c r="C1" s="134"/>
      <c r="G1" s="137" t="s">
        <v>61</v>
      </c>
      <c r="H1" s="138"/>
      <c r="I1" s="139"/>
      <c r="M1" s="137" t="s">
        <v>124</v>
      </c>
      <c r="N1" s="138"/>
      <c r="O1" s="138"/>
      <c r="P1" s="138"/>
      <c r="Q1" s="138"/>
      <c r="R1" s="138"/>
      <c r="S1" s="138"/>
      <c r="T1" s="139"/>
    </row>
    <row r="2" spans="1:20" x14ac:dyDescent="0.35">
      <c r="A2" s="13" t="s">
        <v>0</v>
      </c>
      <c r="B2" s="12" t="s">
        <v>12</v>
      </c>
      <c r="C2" s="40" t="s">
        <v>77</v>
      </c>
      <c r="G2" s="9"/>
      <c r="H2" s="30" t="s">
        <v>28</v>
      </c>
      <c r="I2" s="40" t="s">
        <v>76</v>
      </c>
      <c r="M2" s="150" t="s">
        <v>125</v>
      </c>
      <c r="N2" s="144"/>
      <c r="O2" s="144"/>
      <c r="P2" s="144"/>
      <c r="Q2" s="144"/>
      <c r="R2" s="144"/>
      <c r="S2" s="144"/>
      <c r="T2" s="145"/>
    </row>
    <row r="3" spans="1:20" x14ac:dyDescent="0.35">
      <c r="A3" s="14" t="s">
        <v>1</v>
      </c>
      <c r="B3" s="2" t="s">
        <v>14</v>
      </c>
      <c r="C3" s="4" t="s">
        <v>76</v>
      </c>
      <c r="G3" s="9" t="s">
        <v>53</v>
      </c>
      <c r="H3" s="1" t="s">
        <v>54</v>
      </c>
      <c r="I3" s="10" t="s">
        <v>54</v>
      </c>
      <c r="M3" s="143"/>
      <c r="N3" s="144"/>
      <c r="O3" s="144"/>
      <c r="P3" s="144"/>
      <c r="Q3" s="144"/>
      <c r="R3" s="144"/>
      <c r="S3" s="144"/>
      <c r="T3" s="145"/>
    </row>
    <row r="4" spans="1:20" ht="16" customHeight="1" x14ac:dyDescent="0.35">
      <c r="A4" s="14" t="s">
        <v>2</v>
      </c>
      <c r="B4" s="2" t="s">
        <v>16</v>
      </c>
      <c r="C4" s="4" t="s">
        <v>16</v>
      </c>
      <c r="G4" s="9" t="s">
        <v>8</v>
      </c>
      <c r="H4" s="1" t="s">
        <v>90</v>
      </c>
      <c r="I4" s="10" t="s">
        <v>90</v>
      </c>
      <c r="M4" s="143"/>
      <c r="N4" s="144"/>
      <c r="O4" s="144"/>
      <c r="P4" s="144"/>
      <c r="Q4" s="144"/>
      <c r="R4" s="144"/>
      <c r="S4" s="144"/>
      <c r="T4" s="145"/>
    </row>
    <row r="5" spans="1:20" ht="18.5" customHeight="1" x14ac:dyDescent="0.35">
      <c r="A5" s="14" t="s">
        <v>3</v>
      </c>
      <c r="B5" s="2" t="s">
        <v>17</v>
      </c>
      <c r="C5" s="4" t="s">
        <v>78</v>
      </c>
      <c r="G5" s="149" t="s">
        <v>7</v>
      </c>
      <c r="H5" s="95">
        <v>1000000000</v>
      </c>
      <c r="I5" s="92">
        <v>1000000000</v>
      </c>
      <c r="M5" s="143"/>
      <c r="N5" s="144"/>
      <c r="O5" s="144"/>
      <c r="P5" s="144"/>
      <c r="Q5" s="144"/>
      <c r="R5" s="144"/>
      <c r="S5" s="144"/>
      <c r="T5" s="145"/>
    </row>
    <row r="6" spans="1:20" ht="20" customHeight="1" x14ac:dyDescent="0.35">
      <c r="A6" s="67" t="s">
        <v>4</v>
      </c>
      <c r="B6" s="65" t="s">
        <v>19</v>
      </c>
      <c r="C6" s="66" t="s">
        <v>79</v>
      </c>
      <c r="G6" s="149"/>
      <c r="H6" s="95"/>
      <c r="I6" s="92"/>
      <c r="M6" s="143"/>
      <c r="N6" s="144"/>
      <c r="O6" s="144"/>
      <c r="P6" s="144"/>
      <c r="Q6" s="144"/>
      <c r="R6" s="144"/>
      <c r="S6" s="144"/>
      <c r="T6" s="145"/>
    </row>
    <row r="7" spans="1:20" ht="21.5" customHeight="1" x14ac:dyDescent="0.35">
      <c r="A7" s="67"/>
      <c r="B7" s="65"/>
      <c r="C7" s="66"/>
      <c r="G7" s="36" t="s">
        <v>5</v>
      </c>
      <c r="H7" s="21" t="s">
        <v>22</v>
      </c>
      <c r="I7" s="10" t="s">
        <v>91</v>
      </c>
      <c r="M7" s="143"/>
      <c r="N7" s="144"/>
      <c r="O7" s="144"/>
      <c r="P7" s="144"/>
      <c r="Q7" s="144"/>
      <c r="R7" s="144"/>
      <c r="S7" s="144"/>
      <c r="T7" s="145"/>
    </row>
    <row r="8" spans="1:20" ht="21.5" customHeight="1" x14ac:dyDescent="0.35">
      <c r="A8" s="67"/>
      <c r="B8" s="65"/>
      <c r="C8" s="66"/>
      <c r="G8" s="9" t="s">
        <v>51</v>
      </c>
      <c r="H8" s="48">
        <v>25370000</v>
      </c>
      <c r="I8" s="25">
        <v>62000000</v>
      </c>
      <c r="M8" s="143"/>
      <c r="N8" s="144"/>
      <c r="O8" s="144"/>
      <c r="P8" s="144"/>
      <c r="Q8" s="144"/>
      <c r="R8" s="144"/>
      <c r="S8" s="144"/>
      <c r="T8" s="145"/>
    </row>
    <row r="9" spans="1:20" x14ac:dyDescent="0.35">
      <c r="A9" s="14" t="s">
        <v>5</v>
      </c>
      <c r="B9" s="2" t="s">
        <v>22</v>
      </c>
      <c r="C9" s="4" t="s">
        <v>80</v>
      </c>
      <c r="G9" s="9" t="s">
        <v>92</v>
      </c>
      <c r="H9" s="47">
        <v>1137360000</v>
      </c>
      <c r="I9" s="55">
        <f>I8*5</f>
        <v>310000000</v>
      </c>
      <c r="M9" s="143"/>
      <c r="N9" s="144"/>
      <c r="O9" s="144"/>
      <c r="P9" s="144"/>
      <c r="Q9" s="144"/>
      <c r="R9" s="144"/>
      <c r="S9" s="144"/>
      <c r="T9" s="145"/>
    </row>
    <row r="10" spans="1:20" x14ac:dyDescent="0.35">
      <c r="A10" s="14" t="s">
        <v>6</v>
      </c>
      <c r="B10" s="59" t="s">
        <v>23</v>
      </c>
      <c r="C10" s="4" t="s">
        <v>81</v>
      </c>
      <c r="G10" s="125" t="s">
        <v>67</v>
      </c>
      <c r="H10" s="126"/>
      <c r="I10" s="127"/>
      <c r="M10" s="143"/>
      <c r="N10" s="144"/>
      <c r="O10" s="144"/>
      <c r="P10" s="144"/>
      <c r="Q10" s="144"/>
      <c r="R10" s="144"/>
      <c r="S10" s="144"/>
      <c r="T10" s="145"/>
    </row>
    <row r="11" spans="1:20" ht="18" customHeight="1" x14ac:dyDescent="0.35">
      <c r="A11" s="82" t="s">
        <v>7</v>
      </c>
      <c r="B11" s="3" t="s">
        <v>33</v>
      </c>
      <c r="C11" s="4" t="s">
        <v>82</v>
      </c>
      <c r="G11" s="32" t="s">
        <v>59</v>
      </c>
      <c r="H11" s="107" t="s">
        <v>68</v>
      </c>
      <c r="I11" s="108"/>
      <c r="M11" s="128"/>
      <c r="N11" s="129"/>
      <c r="O11" s="129"/>
      <c r="P11" s="129"/>
      <c r="Q11" s="129"/>
      <c r="R11" s="129"/>
      <c r="S11" s="129"/>
      <c r="T11" s="130"/>
    </row>
    <row r="12" spans="1:20" ht="15" customHeight="1" x14ac:dyDescent="0.35">
      <c r="A12" s="153"/>
      <c r="B12" s="3" t="s">
        <v>34</v>
      </c>
      <c r="C12" s="4" t="s">
        <v>83</v>
      </c>
      <c r="G12" s="101" t="s">
        <v>55</v>
      </c>
      <c r="H12" s="102">
        <f>25%*H5</f>
        <v>250000000</v>
      </c>
      <c r="I12" s="92" t="s">
        <v>30</v>
      </c>
      <c r="K12" s="20" t="s">
        <v>50</v>
      </c>
      <c r="M12" s="123" t="s">
        <v>129</v>
      </c>
      <c r="N12" s="162"/>
      <c r="O12" s="162"/>
      <c r="P12" s="162"/>
      <c r="Q12" s="162"/>
      <c r="R12" s="162"/>
      <c r="S12" s="162"/>
      <c r="T12" s="163"/>
    </row>
    <row r="13" spans="1:20" ht="14.5" customHeight="1" x14ac:dyDescent="0.35">
      <c r="A13" s="41" t="s">
        <v>8</v>
      </c>
      <c r="B13" s="2" t="s">
        <v>20</v>
      </c>
      <c r="C13" s="4" t="s">
        <v>84</v>
      </c>
      <c r="G13" s="101"/>
      <c r="H13" s="102"/>
      <c r="I13" s="92"/>
      <c r="M13" s="164"/>
      <c r="N13" s="162"/>
      <c r="O13" s="162"/>
      <c r="P13" s="162"/>
      <c r="Q13" s="162"/>
      <c r="R13" s="162"/>
      <c r="S13" s="162"/>
      <c r="T13" s="163"/>
    </row>
    <row r="14" spans="1:20" ht="14.5" customHeight="1" x14ac:dyDescent="0.35">
      <c r="A14" s="14" t="s">
        <v>9</v>
      </c>
      <c r="B14" s="2" t="s">
        <v>21</v>
      </c>
      <c r="C14" s="4" t="s">
        <v>21</v>
      </c>
      <c r="G14" s="9"/>
      <c r="H14" s="107" t="s">
        <v>48</v>
      </c>
      <c r="I14" s="108"/>
      <c r="M14" s="164"/>
      <c r="N14" s="162"/>
      <c r="O14" s="162"/>
      <c r="P14" s="162"/>
      <c r="Q14" s="162"/>
      <c r="R14" s="162"/>
      <c r="S14" s="162"/>
      <c r="T14" s="163"/>
    </row>
    <row r="15" spans="1:20" x14ac:dyDescent="0.35">
      <c r="A15" s="14" t="s">
        <v>10</v>
      </c>
      <c r="B15" s="2" t="s">
        <v>24</v>
      </c>
      <c r="C15" s="4" t="s">
        <v>89</v>
      </c>
      <c r="G15" s="101" t="s">
        <v>58</v>
      </c>
      <c r="H15" s="95">
        <f>25%*H5</f>
        <v>250000000</v>
      </c>
      <c r="I15" s="92">
        <f>H15</f>
        <v>250000000</v>
      </c>
      <c r="M15" s="164"/>
      <c r="N15" s="162"/>
      <c r="O15" s="162"/>
      <c r="P15" s="162"/>
      <c r="Q15" s="162"/>
      <c r="R15" s="162"/>
      <c r="S15" s="162"/>
      <c r="T15" s="163"/>
    </row>
    <row r="16" spans="1:20" x14ac:dyDescent="0.35">
      <c r="A16" s="67" t="s">
        <v>11</v>
      </c>
      <c r="B16" s="69" t="s">
        <v>25</v>
      </c>
      <c r="C16" s="173" t="s">
        <v>85</v>
      </c>
      <c r="G16" s="101"/>
      <c r="H16" s="95"/>
      <c r="I16" s="92"/>
      <c r="M16" s="164"/>
      <c r="N16" s="162"/>
      <c r="O16" s="162"/>
      <c r="P16" s="162"/>
      <c r="Q16" s="162"/>
      <c r="R16" s="162"/>
      <c r="S16" s="162"/>
      <c r="T16" s="163"/>
    </row>
    <row r="17" spans="1:20" x14ac:dyDescent="0.35">
      <c r="A17" s="67"/>
      <c r="B17" s="69"/>
      <c r="C17" s="174"/>
      <c r="G17" s="9"/>
      <c r="H17" s="121" t="s">
        <v>63</v>
      </c>
      <c r="I17" s="122"/>
      <c r="M17" s="164"/>
      <c r="N17" s="162"/>
      <c r="O17" s="162"/>
      <c r="P17" s="162"/>
      <c r="Q17" s="162"/>
      <c r="R17" s="162"/>
      <c r="S17" s="162"/>
      <c r="T17" s="163"/>
    </row>
    <row r="18" spans="1:20" x14ac:dyDescent="0.35">
      <c r="A18" s="67"/>
      <c r="B18" s="69"/>
      <c r="C18" s="174"/>
      <c r="G18" s="101" t="s">
        <v>65</v>
      </c>
      <c r="H18" s="95">
        <v>250000000</v>
      </c>
      <c r="I18" s="92">
        <v>250000000</v>
      </c>
      <c r="M18" s="164"/>
      <c r="N18" s="162"/>
      <c r="O18" s="162"/>
      <c r="P18" s="162"/>
      <c r="Q18" s="162"/>
      <c r="R18" s="162"/>
      <c r="S18" s="162"/>
      <c r="T18" s="163"/>
    </row>
    <row r="19" spans="1:20" x14ac:dyDescent="0.35">
      <c r="A19" s="67"/>
      <c r="B19" s="69"/>
      <c r="C19" s="175" t="s">
        <v>86</v>
      </c>
      <c r="G19" s="101"/>
      <c r="H19" s="95"/>
      <c r="I19" s="92"/>
      <c r="M19" s="164"/>
      <c r="N19" s="162"/>
      <c r="O19" s="162"/>
      <c r="P19" s="162"/>
      <c r="Q19" s="162"/>
      <c r="R19" s="162"/>
      <c r="S19" s="162"/>
      <c r="T19" s="163"/>
    </row>
    <row r="20" spans="1:20" x14ac:dyDescent="0.35">
      <c r="A20" s="67"/>
      <c r="B20" s="69"/>
      <c r="C20" s="176"/>
      <c r="G20" s="101"/>
      <c r="H20" s="95"/>
      <c r="I20" s="92"/>
      <c r="M20" s="164"/>
      <c r="N20" s="162"/>
      <c r="O20" s="162"/>
      <c r="P20" s="162"/>
      <c r="Q20" s="162"/>
      <c r="R20" s="162"/>
      <c r="S20" s="162"/>
      <c r="T20" s="163"/>
    </row>
    <row r="21" spans="1:20" x14ac:dyDescent="0.35">
      <c r="A21" s="67"/>
      <c r="B21" s="69"/>
      <c r="C21" s="177"/>
      <c r="G21" s="24"/>
      <c r="H21" s="21"/>
      <c r="I21" s="25"/>
      <c r="M21" s="164"/>
      <c r="N21" s="162"/>
      <c r="O21" s="162"/>
      <c r="P21" s="162"/>
      <c r="Q21" s="162"/>
      <c r="R21" s="162"/>
      <c r="S21" s="162"/>
      <c r="T21" s="163"/>
    </row>
    <row r="22" spans="1:20" ht="14.5" customHeight="1" thickBot="1" x14ac:dyDescent="0.4">
      <c r="A22" s="16" t="s">
        <v>29</v>
      </c>
      <c r="B22" s="5" t="s">
        <v>30</v>
      </c>
      <c r="C22" s="6" t="s">
        <v>30</v>
      </c>
      <c r="G22" s="34" t="s">
        <v>60</v>
      </c>
      <c r="H22" s="121" t="s">
        <v>47</v>
      </c>
      <c r="I22" s="122"/>
      <c r="M22" s="165"/>
      <c r="N22" s="166"/>
      <c r="O22" s="166"/>
      <c r="P22" s="166"/>
      <c r="Q22" s="166"/>
      <c r="R22" s="166"/>
      <c r="S22" s="166"/>
      <c r="T22" s="167"/>
    </row>
    <row r="23" spans="1:20" ht="15" thickBot="1" x14ac:dyDescent="0.4">
      <c r="B23" s="1"/>
      <c r="C23" s="1"/>
      <c r="G23" s="101" t="s">
        <v>62</v>
      </c>
      <c r="H23" s="95">
        <f>H5-H12-H15-H18</f>
        <v>250000000</v>
      </c>
      <c r="I23" s="131">
        <v>1310000000</v>
      </c>
    </row>
    <row r="24" spans="1:20" ht="15" thickBot="1" x14ac:dyDescent="0.4">
      <c r="A24" s="98" t="s">
        <v>27</v>
      </c>
      <c r="B24" s="99"/>
      <c r="C24" s="100"/>
      <c r="G24" s="101"/>
      <c r="H24" s="91"/>
      <c r="I24" s="160"/>
      <c r="N24" s="60"/>
    </row>
    <row r="25" spans="1:20" x14ac:dyDescent="0.35">
      <c r="A25" s="17"/>
      <c r="B25" s="7" t="s">
        <v>28</v>
      </c>
      <c r="C25" s="40" t="s">
        <v>76</v>
      </c>
      <c r="G25" s="101"/>
      <c r="H25" s="91"/>
      <c r="I25" s="160"/>
    </row>
    <row r="26" spans="1:20" ht="14.5" customHeight="1" x14ac:dyDescent="0.35">
      <c r="A26" s="67" t="s">
        <v>46</v>
      </c>
      <c r="B26" s="97" t="s">
        <v>106</v>
      </c>
      <c r="C26" s="66" t="s">
        <v>30</v>
      </c>
      <c r="G26" s="29"/>
      <c r="H26" s="121" t="s">
        <v>39</v>
      </c>
      <c r="I26" s="122"/>
    </row>
    <row r="27" spans="1:20" ht="14.5" customHeight="1" x14ac:dyDescent="0.35">
      <c r="A27" s="67"/>
      <c r="B27" s="97"/>
      <c r="C27" s="66"/>
      <c r="G27" s="90" t="s">
        <v>64</v>
      </c>
      <c r="H27" s="95">
        <f>H5-H12-H15-H18</f>
        <v>250000000</v>
      </c>
      <c r="I27" s="131">
        <f>I9</f>
        <v>310000000</v>
      </c>
    </row>
    <row r="28" spans="1:20" x14ac:dyDescent="0.35">
      <c r="A28" s="67"/>
      <c r="B28" s="97"/>
      <c r="C28" s="66"/>
      <c r="G28" s="90"/>
      <c r="H28" s="91"/>
      <c r="I28" s="160"/>
    </row>
    <row r="29" spans="1:20" ht="14.5" customHeight="1" x14ac:dyDescent="0.35">
      <c r="A29" s="67"/>
      <c r="B29" s="97"/>
      <c r="C29" s="66"/>
      <c r="G29" s="90"/>
      <c r="H29" s="91"/>
      <c r="I29" s="160"/>
    </row>
    <row r="30" spans="1:20" ht="18.5" customHeight="1" x14ac:dyDescent="0.35">
      <c r="A30" s="67"/>
      <c r="B30" s="97"/>
      <c r="C30" s="66"/>
      <c r="G30" s="35"/>
      <c r="H30" s="107" t="s">
        <v>49</v>
      </c>
      <c r="I30" s="108"/>
    </row>
    <row r="31" spans="1:20" ht="22.5" customHeight="1" x14ac:dyDescent="0.35">
      <c r="A31" s="67"/>
      <c r="B31" s="97"/>
      <c r="C31" s="66"/>
      <c r="G31" s="90" t="s">
        <v>66</v>
      </c>
      <c r="H31" s="102">
        <v>787040000</v>
      </c>
      <c r="I31" s="81" t="s">
        <v>30</v>
      </c>
    </row>
    <row r="32" spans="1:20" ht="14.5" customHeight="1" x14ac:dyDescent="0.35">
      <c r="A32" s="96" t="s">
        <v>47</v>
      </c>
      <c r="B32" s="65" t="s">
        <v>132</v>
      </c>
      <c r="C32" s="161" t="s">
        <v>110</v>
      </c>
      <c r="G32" s="90"/>
      <c r="H32" s="102"/>
      <c r="I32" s="81"/>
    </row>
    <row r="33" spans="1:9" ht="20.5" customHeight="1" x14ac:dyDescent="0.35">
      <c r="A33" s="96"/>
      <c r="B33" s="65"/>
      <c r="C33" s="161"/>
      <c r="G33" s="9"/>
      <c r="H33" s="107" t="s">
        <v>69</v>
      </c>
      <c r="I33" s="108"/>
    </row>
    <row r="34" spans="1:9" ht="45.5" customHeight="1" x14ac:dyDescent="0.35">
      <c r="A34" s="96"/>
      <c r="B34" s="65"/>
      <c r="C34" s="161"/>
      <c r="G34" s="90" t="s">
        <v>70</v>
      </c>
      <c r="H34" s="91" t="s">
        <v>30</v>
      </c>
      <c r="I34" s="171">
        <f>100%*I9</f>
        <v>310000000</v>
      </c>
    </row>
    <row r="35" spans="1:9" ht="29" x14ac:dyDescent="0.35">
      <c r="A35" s="15" t="s">
        <v>48</v>
      </c>
      <c r="B35" s="2" t="s">
        <v>118</v>
      </c>
      <c r="C35" s="56" t="s">
        <v>112</v>
      </c>
      <c r="G35" s="90"/>
      <c r="H35" s="91"/>
      <c r="I35" s="172"/>
    </row>
    <row r="36" spans="1:9" ht="14" customHeight="1" thickBot="1" x14ac:dyDescent="0.4">
      <c r="A36" s="82" t="s">
        <v>39</v>
      </c>
      <c r="B36" s="154" t="s">
        <v>41</v>
      </c>
      <c r="C36" s="157" t="s">
        <v>87</v>
      </c>
      <c r="G36" s="26"/>
      <c r="H36" s="27"/>
      <c r="I36" s="28"/>
    </row>
    <row r="37" spans="1:9" ht="19" customHeight="1" x14ac:dyDescent="0.35">
      <c r="A37" s="83"/>
      <c r="B37" s="155"/>
      <c r="C37" s="158"/>
    </row>
    <row r="38" spans="1:9" x14ac:dyDescent="0.35">
      <c r="A38" s="153"/>
      <c r="B38" s="156"/>
      <c r="C38" s="159"/>
      <c r="G38" s="169" t="s">
        <v>126</v>
      </c>
      <c r="H38" s="170"/>
      <c r="I38" s="170"/>
    </row>
    <row r="39" spans="1:9" ht="72.5" x14ac:dyDescent="0.35">
      <c r="A39" s="18" t="s">
        <v>42</v>
      </c>
      <c r="B39" s="50" t="s">
        <v>88</v>
      </c>
      <c r="C39" s="37" t="s">
        <v>113</v>
      </c>
      <c r="G39" s="170"/>
      <c r="H39" s="170"/>
      <c r="I39" s="170"/>
    </row>
    <row r="40" spans="1:9" x14ac:dyDescent="0.35">
      <c r="A40" s="67" t="s">
        <v>49</v>
      </c>
      <c r="B40" s="97" t="s">
        <v>44</v>
      </c>
      <c r="C40" s="70" t="s">
        <v>30</v>
      </c>
      <c r="G40" s="170"/>
      <c r="H40" s="170"/>
      <c r="I40" s="170"/>
    </row>
    <row r="41" spans="1:9" ht="19.5" customHeight="1" x14ac:dyDescent="0.35">
      <c r="A41" s="67"/>
      <c r="B41" s="97"/>
      <c r="C41" s="70"/>
      <c r="G41" s="170"/>
      <c r="H41" s="170"/>
      <c r="I41" s="170"/>
    </row>
    <row r="42" spans="1:9" ht="29" customHeight="1" thickBot="1" x14ac:dyDescent="0.4">
      <c r="A42" s="19" t="s">
        <v>40</v>
      </c>
      <c r="B42" s="11" t="s">
        <v>30</v>
      </c>
      <c r="C42" s="57" t="s">
        <v>87</v>
      </c>
      <c r="G42" s="170"/>
      <c r="H42" s="170"/>
      <c r="I42" s="170"/>
    </row>
    <row r="43" spans="1:9" ht="43.5" customHeight="1" x14ac:dyDescent="0.35">
      <c r="G43" s="170"/>
      <c r="H43" s="170"/>
      <c r="I43" s="170"/>
    </row>
  </sheetData>
  <mergeCells count="61">
    <mergeCell ref="A1:C1"/>
    <mergeCell ref="G1:I1"/>
    <mergeCell ref="G5:G6"/>
    <mergeCell ref="H5:H6"/>
    <mergeCell ref="A6:A8"/>
    <mergeCell ref="B6:B8"/>
    <mergeCell ref="C6:C8"/>
    <mergeCell ref="I5:I6"/>
    <mergeCell ref="G10:I10"/>
    <mergeCell ref="H11:I11"/>
    <mergeCell ref="A11:A12"/>
    <mergeCell ref="G12:G13"/>
    <mergeCell ref="H12:H13"/>
    <mergeCell ref="I12:I13"/>
    <mergeCell ref="I27:I29"/>
    <mergeCell ref="H22:I22"/>
    <mergeCell ref="H14:I14"/>
    <mergeCell ref="G15:G16"/>
    <mergeCell ref="H15:H16"/>
    <mergeCell ref="I15:I16"/>
    <mergeCell ref="H17:I17"/>
    <mergeCell ref="G18:G20"/>
    <mergeCell ref="H18:H20"/>
    <mergeCell ref="I18:I20"/>
    <mergeCell ref="A24:C24"/>
    <mergeCell ref="G23:G25"/>
    <mergeCell ref="H23:H25"/>
    <mergeCell ref="I23:I25"/>
    <mergeCell ref="H26:I26"/>
    <mergeCell ref="A40:A41"/>
    <mergeCell ref="B40:B41"/>
    <mergeCell ref="C40:C41"/>
    <mergeCell ref="C16:C18"/>
    <mergeCell ref="A16:A21"/>
    <mergeCell ref="B16:B21"/>
    <mergeCell ref="C19:C21"/>
    <mergeCell ref="A36:A38"/>
    <mergeCell ref="B36:B38"/>
    <mergeCell ref="C36:C38"/>
    <mergeCell ref="A26:A31"/>
    <mergeCell ref="B26:B31"/>
    <mergeCell ref="C26:C31"/>
    <mergeCell ref="A32:A34"/>
    <mergeCell ref="B32:B34"/>
    <mergeCell ref="C32:C34"/>
    <mergeCell ref="G38:I43"/>
    <mergeCell ref="M1:T1"/>
    <mergeCell ref="M2:T10"/>
    <mergeCell ref="M11:T11"/>
    <mergeCell ref="M12:T21"/>
    <mergeCell ref="M22:T22"/>
    <mergeCell ref="H33:I33"/>
    <mergeCell ref="G34:G35"/>
    <mergeCell ref="H34:H35"/>
    <mergeCell ref="I34:I35"/>
    <mergeCell ref="H30:I30"/>
    <mergeCell ref="G31:G32"/>
    <mergeCell ref="H31:H32"/>
    <mergeCell ref="I31:I32"/>
    <mergeCell ref="G27:G29"/>
    <mergeCell ref="H27:H29"/>
  </mergeCells>
  <pageMargins left="0.7" right="0.7" top="0.75" bottom="0.75" header="0.3" footer="0.3"/>
  <headerFooter>
    <oddFooter>&amp;C_x000D_&amp;1#&amp;"Aptos"&amp;10&amp;K008000 INTERNAL</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27C00-5EBF-4FFA-8F71-2873B98C9680}">
  <dimension ref="A1:T56"/>
  <sheetViews>
    <sheetView topLeftCell="A11" zoomScale="82" workbookViewId="0">
      <selection activeCell="C45" sqref="C45:C48"/>
    </sheetView>
  </sheetViews>
  <sheetFormatPr defaultRowHeight="14.5" x14ac:dyDescent="0.35"/>
  <cols>
    <col min="1" max="1" width="26.26953125" customWidth="1"/>
    <col min="2" max="2" width="35.81640625" customWidth="1"/>
    <col min="3" max="3" width="39.08984375" customWidth="1"/>
    <col min="4" max="4" width="5.6328125" customWidth="1"/>
    <col min="5" max="5" width="2.453125" style="20" customWidth="1"/>
    <col min="6" max="6" width="5.6328125" customWidth="1"/>
    <col min="7" max="7" width="35.08984375" customWidth="1"/>
    <col min="8" max="8" width="25.81640625" customWidth="1"/>
    <col min="9" max="9" width="32.1796875" customWidth="1"/>
    <col min="10" max="10" width="5.6328125" customWidth="1"/>
    <col min="11" max="11" width="2.453125" style="20" customWidth="1"/>
    <col min="12" max="12" width="5.6328125" customWidth="1"/>
    <col min="13" max="13" width="15.26953125" bestFit="1" customWidth="1"/>
  </cols>
  <sheetData>
    <row r="1" spans="1:20" ht="15" thickBot="1" x14ac:dyDescent="0.4">
      <c r="A1" s="132" t="s">
        <v>26</v>
      </c>
      <c r="B1" s="133"/>
      <c r="C1" s="134"/>
      <c r="G1" s="137" t="s">
        <v>61</v>
      </c>
      <c r="H1" s="138"/>
      <c r="I1" s="139"/>
      <c r="M1" s="137" t="s">
        <v>124</v>
      </c>
      <c r="N1" s="138"/>
      <c r="O1" s="138"/>
      <c r="P1" s="138"/>
      <c r="Q1" s="138"/>
      <c r="R1" s="138"/>
      <c r="S1" s="138"/>
      <c r="T1" s="139"/>
    </row>
    <row r="2" spans="1:20" x14ac:dyDescent="0.35">
      <c r="A2" s="13" t="s">
        <v>0</v>
      </c>
      <c r="B2" s="12" t="s">
        <v>12</v>
      </c>
      <c r="C2" s="42" t="s">
        <v>93</v>
      </c>
      <c r="G2" s="9"/>
      <c r="H2" s="30" t="s">
        <v>28</v>
      </c>
      <c r="I2" s="42" t="s">
        <v>94</v>
      </c>
      <c r="M2" s="150" t="s">
        <v>135</v>
      </c>
      <c r="N2" s="144"/>
      <c r="O2" s="144"/>
      <c r="P2" s="144"/>
      <c r="Q2" s="144"/>
      <c r="R2" s="144"/>
      <c r="S2" s="144"/>
      <c r="T2" s="145"/>
    </row>
    <row r="3" spans="1:20" x14ac:dyDescent="0.35">
      <c r="A3" s="14" t="s">
        <v>1</v>
      </c>
      <c r="B3" s="2" t="s">
        <v>14</v>
      </c>
      <c r="C3" s="4" t="s">
        <v>94</v>
      </c>
      <c r="G3" s="9" t="s">
        <v>53</v>
      </c>
      <c r="H3" s="1" t="s">
        <v>54</v>
      </c>
      <c r="I3" s="10" t="s">
        <v>54</v>
      </c>
      <c r="M3" s="143"/>
      <c r="N3" s="144"/>
      <c r="O3" s="144"/>
      <c r="P3" s="144"/>
      <c r="Q3" s="144"/>
      <c r="R3" s="144"/>
      <c r="S3" s="144"/>
      <c r="T3" s="145"/>
    </row>
    <row r="4" spans="1:20" ht="16" customHeight="1" x14ac:dyDescent="0.35">
      <c r="A4" s="14" t="s">
        <v>2</v>
      </c>
      <c r="B4" s="2" t="s">
        <v>16</v>
      </c>
      <c r="C4" s="4" t="s">
        <v>16</v>
      </c>
      <c r="G4" s="9" t="s">
        <v>8</v>
      </c>
      <c r="H4" s="1" t="s">
        <v>52</v>
      </c>
      <c r="I4" s="10" t="s">
        <v>52</v>
      </c>
      <c r="M4" s="143"/>
      <c r="N4" s="144"/>
      <c r="O4" s="144"/>
      <c r="P4" s="144"/>
      <c r="Q4" s="144"/>
      <c r="R4" s="144"/>
      <c r="S4" s="144"/>
      <c r="T4" s="145"/>
    </row>
    <row r="5" spans="1:20" ht="18.5" customHeight="1" x14ac:dyDescent="0.35">
      <c r="A5" s="14" t="s">
        <v>3</v>
      </c>
      <c r="B5" s="2" t="s">
        <v>17</v>
      </c>
      <c r="C5" s="4" t="s">
        <v>18</v>
      </c>
      <c r="G5" s="149" t="s">
        <v>7</v>
      </c>
      <c r="H5" s="95">
        <v>500000000</v>
      </c>
      <c r="I5" s="92">
        <v>500000000</v>
      </c>
      <c r="M5" s="143"/>
      <c r="N5" s="144"/>
      <c r="O5" s="144"/>
      <c r="P5" s="144"/>
      <c r="Q5" s="144"/>
      <c r="R5" s="144"/>
      <c r="S5" s="144"/>
      <c r="T5" s="145"/>
    </row>
    <row r="6" spans="1:20" ht="20" customHeight="1" x14ac:dyDescent="0.35">
      <c r="A6" s="82" t="s">
        <v>4</v>
      </c>
      <c r="B6" s="84" t="s">
        <v>19</v>
      </c>
      <c r="C6" s="180" t="s">
        <v>95</v>
      </c>
      <c r="G6" s="149"/>
      <c r="H6" s="95"/>
      <c r="I6" s="92"/>
      <c r="M6" s="143"/>
      <c r="N6" s="144"/>
      <c r="O6" s="144"/>
      <c r="P6" s="144"/>
      <c r="Q6" s="144"/>
      <c r="R6" s="144"/>
      <c r="S6" s="144"/>
      <c r="T6" s="145"/>
    </row>
    <row r="7" spans="1:20" ht="21.5" customHeight="1" x14ac:dyDescent="0.35">
      <c r="A7" s="83"/>
      <c r="B7" s="85"/>
      <c r="C7" s="181"/>
      <c r="G7" s="36" t="s">
        <v>5</v>
      </c>
      <c r="H7" s="21" t="s">
        <v>22</v>
      </c>
      <c r="I7" s="10" t="s">
        <v>91</v>
      </c>
      <c r="M7" s="143"/>
      <c r="N7" s="144"/>
      <c r="O7" s="144"/>
      <c r="P7" s="144"/>
      <c r="Q7" s="144"/>
      <c r="R7" s="144"/>
      <c r="S7" s="144"/>
      <c r="T7" s="145"/>
    </row>
    <row r="8" spans="1:20" ht="21.5" customHeight="1" x14ac:dyDescent="0.35">
      <c r="A8" s="83"/>
      <c r="B8" s="85"/>
      <c r="C8" s="181"/>
      <c r="G8" s="9" t="s">
        <v>51</v>
      </c>
      <c r="H8" s="48">
        <v>9610000</v>
      </c>
      <c r="I8" s="25">
        <v>18667000</v>
      </c>
      <c r="M8" s="143"/>
      <c r="N8" s="144"/>
      <c r="O8" s="144"/>
      <c r="P8" s="144"/>
      <c r="Q8" s="144"/>
      <c r="R8" s="144"/>
      <c r="S8" s="144"/>
      <c r="T8" s="145"/>
    </row>
    <row r="9" spans="1:20" x14ac:dyDescent="0.35">
      <c r="A9" s="83"/>
      <c r="B9" s="85"/>
      <c r="C9" s="181"/>
      <c r="G9" s="9" t="s">
        <v>92</v>
      </c>
      <c r="H9" s="47">
        <v>125035000</v>
      </c>
      <c r="I9" s="33">
        <f>I8*5</f>
        <v>93335000</v>
      </c>
      <c r="M9" s="143"/>
      <c r="N9" s="144"/>
      <c r="O9" s="144"/>
      <c r="P9" s="144"/>
      <c r="Q9" s="144"/>
      <c r="R9" s="144"/>
      <c r="S9" s="144"/>
      <c r="T9" s="145"/>
    </row>
    <row r="10" spans="1:20" x14ac:dyDescent="0.35">
      <c r="A10" s="83"/>
      <c r="B10" s="85"/>
      <c r="C10" s="181"/>
      <c r="G10" s="125" t="s">
        <v>67</v>
      </c>
      <c r="H10" s="126"/>
      <c r="I10" s="127"/>
      <c r="M10" s="143"/>
      <c r="N10" s="144"/>
      <c r="O10" s="144"/>
      <c r="P10" s="144"/>
      <c r="Q10" s="144"/>
      <c r="R10" s="144"/>
      <c r="S10" s="144"/>
      <c r="T10" s="145"/>
    </row>
    <row r="11" spans="1:20" ht="18" customHeight="1" x14ac:dyDescent="0.35">
      <c r="A11" s="83"/>
      <c r="B11" s="85"/>
      <c r="C11" s="181"/>
      <c r="G11" s="32" t="s">
        <v>59</v>
      </c>
      <c r="H11" s="107" t="s">
        <v>68</v>
      </c>
      <c r="I11" s="108"/>
      <c r="M11" s="128"/>
      <c r="N11" s="129"/>
      <c r="O11" s="129"/>
      <c r="P11" s="129"/>
      <c r="Q11" s="129"/>
      <c r="R11" s="129"/>
      <c r="S11" s="129"/>
      <c r="T11" s="130"/>
    </row>
    <row r="12" spans="1:20" ht="15" customHeight="1" x14ac:dyDescent="0.35">
      <c r="A12" s="83"/>
      <c r="B12" s="85"/>
      <c r="C12" s="181"/>
      <c r="G12" s="101" t="s">
        <v>55</v>
      </c>
      <c r="H12" s="95">
        <f>25%*H5</f>
        <v>125000000</v>
      </c>
      <c r="I12" s="92">
        <f>25%*I5</f>
        <v>125000000</v>
      </c>
      <c r="K12" s="20" t="s">
        <v>50</v>
      </c>
      <c r="M12" s="123" t="s">
        <v>127</v>
      </c>
      <c r="N12" s="162"/>
      <c r="O12" s="162"/>
      <c r="P12" s="162"/>
      <c r="Q12" s="162"/>
      <c r="R12" s="162"/>
      <c r="S12" s="162"/>
      <c r="T12" s="163"/>
    </row>
    <row r="13" spans="1:20" ht="14.5" customHeight="1" x14ac:dyDescent="0.35">
      <c r="A13" s="83"/>
      <c r="B13" s="85"/>
      <c r="C13" s="181"/>
      <c r="G13" s="101"/>
      <c r="H13" s="95"/>
      <c r="I13" s="92"/>
      <c r="M13" s="164"/>
      <c r="N13" s="162"/>
      <c r="O13" s="162"/>
      <c r="P13" s="162"/>
      <c r="Q13" s="162"/>
      <c r="R13" s="162"/>
      <c r="S13" s="162"/>
      <c r="T13" s="163"/>
    </row>
    <row r="14" spans="1:20" ht="14.5" customHeight="1" x14ac:dyDescent="0.35">
      <c r="A14" s="83"/>
      <c r="B14" s="85"/>
      <c r="C14" s="181"/>
      <c r="G14" s="9"/>
      <c r="H14" s="107" t="s">
        <v>48</v>
      </c>
      <c r="I14" s="108"/>
      <c r="M14" s="164"/>
      <c r="N14" s="162"/>
      <c r="O14" s="162"/>
      <c r="P14" s="162"/>
      <c r="Q14" s="162"/>
      <c r="R14" s="162"/>
      <c r="S14" s="162"/>
      <c r="T14" s="163"/>
    </row>
    <row r="15" spans="1:20" x14ac:dyDescent="0.35">
      <c r="A15" s="153"/>
      <c r="B15" s="186"/>
      <c r="C15" s="182"/>
      <c r="G15" s="101" t="s">
        <v>58</v>
      </c>
      <c r="H15" s="95">
        <f>25%*H5</f>
        <v>125000000</v>
      </c>
      <c r="I15" s="92">
        <f>H15</f>
        <v>125000000</v>
      </c>
      <c r="M15" s="164"/>
      <c r="N15" s="162"/>
      <c r="O15" s="162"/>
      <c r="P15" s="162"/>
      <c r="Q15" s="162"/>
      <c r="R15" s="162"/>
      <c r="S15" s="162"/>
      <c r="T15" s="163"/>
    </row>
    <row r="16" spans="1:20" x14ac:dyDescent="0.35">
      <c r="A16" s="14" t="s">
        <v>5</v>
      </c>
      <c r="B16" s="2" t="s">
        <v>22</v>
      </c>
      <c r="C16" s="37" t="s">
        <v>96</v>
      </c>
      <c r="G16" s="101"/>
      <c r="H16" s="95"/>
      <c r="I16" s="92"/>
      <c r="M16" s="164"/>
      <c r="N16" s="162"/>
      <c r="O16" s="162"/>
      <c r="P16" s="162"/>
      <c r="Q16" s="162"/>
      <c r="R16" s="162"/>
      <c r="S16" s="162"/>
      <c r="T16" s="163"/>
    </row>
    <row r="17" spans="1:20" x14ac:dyDescent="0.35">
      <c r="A17" s="14" t="s">
        <v>6</v>
      </c>
      <c r="B17" s="2" t="s">
        <v>23</v>
      </c>
      <c r="C17" s="37" t="s">
        <v>97</v>
      </c>
      <c r="G17" s="24"/>
      <c r="H17" s="121" t="s">
        <v>63</v>
      </c>
      <c r="I17" s="122"/>
      <c r="M17" s="164"/>
      <c r="N17" s="162"/>
      <c r="O17" s="162"/>
      <c r="P17" s="162"/>
      <c r="Q17" s="162"/>
      <c r="R17" s="162"/>
      <c r="S17" s="162"/>
      <c r="T17" s="163"/>
    </row>
    <row r="18" spans="1:20" ht="26" customHeight="1" x14ac:dyDescent="0.35">
      <c r="A18" s="82" t="s">
        <v>7</v>
      </c>
      <c r="B18" s="3" t="s">
        <v>33</v>
      </c>
      <c r="C18" s="37" t="s">
        <v>98</v>
      </c>
      <c r="G18" s="101" t="s">
        <v>65</v>
      </c>
      <c r="H18" s="102">
        <v>250000000</v>
      </c>
      <c r="I18" s="92" t="s">
        <v>30</v>
      </c>
      <c r="M18" s="164"/>
      <c r="N18" s="162"/>
      <c r="O18" s="162"/>
      <c r="P18" s="162"/>
      <c r="Q18" s="162"/>
      <c r="R18" s="162"/>
      <c r="S18" s="162"/>
      <c r="T18" s="163"/>
    </row>
    <row r="19" spans="1:20" x14ac:dyDescent="0.35">
      <c r="A19" s="153"/>
      <c r="B19" s="3" t="s">
        <v>34</v>
      </c>
      <c r="C19" s="37" t="s">
        <v>99</v>
      </c>
      <c r="G19" s="101"/>
      <c r="H19" s="102"/>
      <c r="I19" s="92"/>
      <c r="M19" s="164"/>
      <c r="N19" s="162"/>
      <c r="O19" s="162"/>
      <c r="P19" s="162"/>
      <c r="Q19" s="162"/>
      <c r="R19" s="162"/>
      <c r="S19" s="162"/>
      <c r="T19" s="163"/>
    </row>
    <row r="20" spans="1:20" x14ac:dyDescent="0.35">
      <c r="A20" s="187" t="s">
        <v>8</v>
      </c>
      <c r="B20" s="190" t="s">
        <v>20</v>
      </c>
      <c r="C20" s="180" t="s">
        <v>100</v>
      </c>
      <c r="G20" s="34" t="s">
        <v>60</v>
      </c>
      <c r="H20" s="121" t="s">
        <v>47</v>
      </c>
      <c r="I20" s="122"/>
      <c r="M20" s="164"/>
      <c r="N20" s="162"/>
      <c r="O20" s="162"/>
      <c r="P20" s="162"/>
      <c r="Q20" s="162"/>
      <c r="R20" s="162"/>
      <c r="S20" s="162"/>
      <c r="T20" s="163"/>
    </row>
    <row r="21" spans="1:20" ht="21.5" customHeight="1" x14ac:dyDescent="0.35">
      <c r="A21" s="188"/>
      <c r="B21" s="191"/>
      <c r="C21" s="181"/>
      <c r="G21" s="123" t="s">
        <v>111</v>
      </c>
      <c r="H21" s="95" t="s">
        <v>134</v>
      </c>
      <c r="I21" s="131">
        <f>I5-I12-I15</f>
        <v>250000000</v>
      </c>
      <c r="M21" s="164"/>
      <c r="N21" s="162"/>
      <c r="O21" s="162"/>
      <c r="P21" s="162"/>
      <c r="Q21" s="162"/>
      <c r="R21" s="162"/>
      <c r="S21" s="162"/>
      <c r="T21" s="163"/>
    </row>
    <row r="22" spans="1:20" ht="15" thickBot="1" x14ac:dyDescent="0.4">
      <c r="A22" s="188"/>
      <c r="B22" s="191"/>
      <c r="C22" s="181"/>
      <c r="G22" s="123"/>
      <c r="H22" s="95"/>
      <c r="I22" s="131"/>
      <c r="M22" s="165"/>
      <c r="N22" s="166"/>
      <c r="O22" s="166"/>
      <c r="P22" s="166"/>
      <c r="Q22" s="166"/>
      <c r="R22" s="166"/>
      <c r="S22" s="166"/>
      <c r="T22" s="167"/>
    </row>
    <row r="23" spans="1:20" x14ac:dyDescent="0.35">
      <c r="A23" s="188"/>
      <c r="B23" s="191"/>
      <c r="C23" s="181"/>
      <c r="G23" s="123"/>
      <c r="H23" s="95"/>
      <c r="I23" s="131"/>
    </row>
    <row r="24" spans="1:20" x14ac:dyDescent="0.35">
      <c r="A24" s="188"/>
      <c r="B24" s="191"/>
      <c r="C24" s="181"/>
      <c r="G24" s="49"/>
      <c r="H24" s="107" t="s">
        <v>39</v>
      </c>
      <c r="I24" s="108"/>
    </row>
    <row r="25" spans="1:20" ht="28.5" customHeight="1" x14ac:dyDescent="0.35">
      <c r="A25" s="189"/>
      <c r="B25" s="192"/>
      <c r="C25" s="182"/>
      <c r="G25" s="123" t="s">
        <v>64</v>
      </c>
      <c r="H25" s="95" t="s">
        <v>134</v>
      </c>
      <c r="I25" s="131">
        <f>I5</f>
        <v>500000000</v>
      </c>
    </row>
    <row r="26" spans="1:20" x14ac:dyDescent="0.35">
      <c r="A26" s="14" t="s">
        <v>9</v>
      </c>
      <c r="B26" s="2" t="s">
        <v>21</v>
      </c>
      <c r="C26" s="4" t="s">
        <v>21</v>
      </c>
      <c r="G26" s="123"/>
      <c r="H26" s="95"/>
      <c r="I26" s="131"/>
    </row>
    <row r="27" spans="1:20" x14ac:dyDescent="0.35">
      <c r="A27" s="14" t="s">
        <v>10</v>
      </c>
      <c r="B27" s="2" t="s">
        <v>24</v>
      </c>
      <c r="C27" s="4" t="s">
        <v>101</v>
      </c>
      <c r="G27" s="24"/>
      <c r="H27" s="107" t="s">
        <v>49</v>
      </c>
      <c r="I27" s="108"/>
    </row>
    <row r="28" spans="1:20" x14ac:dyDescent="0.35">
      <c r="A28" s="41" t="s">
        <v>11</v>
      </c>
      <c r="B28" s="2" t="s">
        <v>25</v>
      </c>
      <c r="C28" s="37" t="s">
        <v>25</v>
      </c>
      <c r="G28" s="90" t="s">
        <v>66</v>
      </c>
      <c r="H28" s="95" t="s">
        <v>134</v>
      </c>
      <c r="I28" s="92" t="s">
        <v>30</v>
      </c>
    </row>
    <row r="29" spans="1:20" ht="14.5" customHeight="1" x14ac:dyDescent="0.35">
      <c r="A29" s="44" t="s">
        <v>29</v>
      </c>
      <c r="B29" s="43" t="s">
        <v>30</v>
      </c>
      <c r="C29" s="45" t="s">
        <v>102</v>
      </c>
      <c r="G29" s="90"/>
      <c r="H29" s="95"/>
      <c r="I29" s="92"/>
    </row>
    <row r="30" spans="1:20" ht="23" customHeight="1" x14ac:dyDescent="0.35">
      <c r="A30" s="67" t="s">
        <v>103</v>
      </c>
      <c r="B30" s="69" t="s">
        <v>30</v>
      </c>
      <c r="C30" s="193" t="s">
        <v>104</v>
      </c>
      <c r="G30" s="29"/>
      <c r="H30" s="107" t="s">
        <v>40</v>
      </c>
      <c r="I30" s="108"/>
    </row>
    <row r="31" spans="1:20" ht="24.5" customHeight="1" thickBot="1" x14ac:dyDescent="0.4">
      <c r="A31" s="103"/>
      <c r="B31" s="104"/>
      <c r="C31" s="194"/>
      <c r="G31" s="101" t="s">
        <v>70</v>
      </c>
      <c r="H31" s="95" t="s">
        <v>30</v>
      </c>
      <c r="I31" s="92">
        <f>100%*I9</f>
        <v>93335000</v>
      </c>
    </row>
    <row r="32" spans="1:20" ht="14.5" customHeight="1" thickBot="1" x14ac:dyDescent="0.4">
      <c r="A32" s="46"/>
      <c r="B32" s="1"/>
      <c r="C32" s="1"/>
      <c r="G32" s="109"/>
      <c r="H32" s="110"/>
      <c r="I32" s="111"/>
    </row>
    <row r="33" spans="1:9" ht="15" thickBot="1" x14ac:dyDescent="0.4">
      <c r="A33" s="98" t="s">
        <v>27</v>
      </c>
      <c r="B33" s="99"/>
      <c r="C33" s="100"/>
      <c r="G33" s="51"/>
      <c r="H33" s="52"/>
      <c r="I33" s="53"/>
    </row>
    <row r="34" spans="1:9" x14ac:dyDescent="0.35">
      <c r="A34" s="17"/>
      <c r="B34" s="7" t="s">
        <v>28</v>
      </c>
      <c r="C34" s="42" t="s">
        <v>94</v>
      </c>
      <c r="G34" s="51"/>
      <c r="H34" s="52"/>
      <c r="I34" s="53"/>
    </row>
    <row r="35" spans="1:9" ht="14.5" customHeight="1" x14ac:dyDescent="0.35">
      <c r="A35" s="67" t="s">
        <v>46</v>
      </c>
      <c r="B35" s="97" t="s">
        <v>105</v>
      </c>
      <c r="C35" s="66" t="s">
        <v>119</v>
      </c>
      <c r="G35" s="51"/>
      <c r="H35" s="52"/>
      <c r="I35" s="53"/>
    </row>
    <row r="36" spans="1:9" ht="14.5" customHeight="1" x14ac:dyDescent="0.35">
      <c r="A36" s="67"/>
      <c r="B36" s="97"/>
      <c r="C36" s="66"/>
      <c r="G36" s="101"/>
      <c r="H36" s="91"/>
      <c r="I36" s="81"/>
    </row>
    <row r="37" spans="1:9" x14ac:dyDescent="0.35">
      <c r="A37" s="67"/>
      <c r="B37" s="97"/>
      <c r="C37" s="66"/>
      <c r="G37" s="101"/>
      <c r="H37" s="91"/>
      <c r="I37" s="81"/>
    </row>
    <row r="38" spans="1:9" ht="14.5" customHeight="1" x14ac:dyDescent="0.35">
      <c r="A38" s="67"/>
      <c r="B38" s="97"/>
      <c r="C38" s="66"/>
      <c r="G38" s="29"/>
      <c r="H38" s="93"/>
      <c r="I38" s="94"/>
    </row>
    <row r="39" spans="1:9" ht="18.5" customHeight="1" x14ac:dyDescent="0.35">
      <c r="A39" s="67"/>
      <c r="B39" s="97"/>
      <c r="C39" s="66"/>
      <c r="G39" s="90"/>
      <c r="H39" s="95"/>
      <c r="I39" s="92"/>
    </row>
    <row r="40" spans="1:9" ht="22.5" customHeight="1" x14ac:dyDescent="0.35">
      <c r="A40" s="67"/>
      <c r="B40" s="97"/>
      <c r="C40" s="66"/>
      <c r="G40" s="90"/>
      <c r="H40" s="91"/>
      <c r="I40" s="81"/>
    </row>
    <row r="41" spans="1:9" x14ac:dyDescent="0.35">
      <c r="A41" s="96" t="s">
        <v>47</v>
      </c>
      <c r="B41" s="65" t="s">
        <v>107</v>
      </c>
      <c r="C41" s="161" t="s">
        <v>133</v>
      </c>
      <c r="G41" s="90"/>
      <c r="H41" s="91"/>
      <c r="I41" s="81"/>
    </row>
    <row r="42" spans="1:9" ht="20.5" customHeight="1" x14ac:dyDescent="0.35">
      <c r="A42" s="96"/>
      <c r="B42" s="65"/>
      <c r="C42" s="161"/>
      <c r="G42" s="35"/>
      <c r="H42" s="88"/>
      <c r="I42" s="89"/>
    </row>
    <row r="43" spans="1:9" ht="45.5" customHeight="1" x14ac:dyDescent="0.35">
      <c r="A43" s="96"/>
      <c r="B43" s="65"/>
      <c r="C43" s="161"/>
      <c r="G43" s="90"/>
      <c r="H43" s="80"/>
      <c r="I43" s="81"/>
    </row>
    <row r="44" spans="1:9" x14ac:dyDescent="0.35">
      <c r="A44" s="15" t="s">
        <v>48</v>
      </c>
      <c r="B44" s="2" t="s">
        <v>116</v>
      </c>
      <c r="C44" s="4" t="s">
        <v>116</v>
      </c>
      <c r="G44" s="90"/>
      <c r="H44" s="80"/>
      <c r="I44" s="81"/>
    </row>
    <row r="45" spans="1:9" ht="14" customHeight="1" x14ac:dyDescent="0.35">
      <c r="A45" s="82" t="s">
        <v>39</v>
      </c>
      <c r="B45" s="84" t="s">
        <v>41</v>
      </c>
      <c r="C45" s="178" t="s">
        <v>108</v>
      </c>
      <c r="G45" s="9"/>
      <c r="H45" s="88"/>
      <c r="I45" s="89"/>
    </row>
    <row r="46" spans="1:9" ht="29.5" customHeight="1" x14ac:dyDescent="0.35">
      <c r="A46" s="83"/>
      <c r="B46" s="85"/>
      <c r="C46" s="179"/>
      <c r="G46" s="90"/>
      <c r="H46" s="91"/>
      <c r="I46" s="92"/>
    </row>
    <row r="47" spans="1:9" ht="26" customHeight="1" x14ac:dyDescent="0.35">
      <c r="A47" s="83"/>
      <c r="B47" s="85"/>
      <c r="C47" s="179"/>
      <c r="G47" s="90"/>
      <c r="H47" s="91"/>
      <c r="I47" s="81"/>
    </row>
    <row r="48" spans="1:9" ht="19.5" customHeight="1" thickBot="1" x14ac:dyDescent="0.4">
      <c r="A48" s="83"/>
      <c r="B48" s="85"/>
      <c r="C48" s="179"/>
      <c r="G48" s="26"/>
      <c r="H48" s="27"/>
      <c r="I48" s="28"/>
    </row>
    <row r="49" spans="1:3" ht="58" x14ac:dyDescent="0.35">
      <c r="A49" s="18" t="s">
        <v>42</v>
      </c>
      <c r="B49" s="3" t="s">
        <v>88</v>
      </c>
      <c r="C49" s="37" t="s">
        <v>30</v>
      </c>
    </row>
    <row r="50" spans="1:3" x14ac:dyDescent="0.35">
      <c r="A50" s="67" t="s">
        <v>49</v>
      </c>
      <c r="B50" s="65" t="s">
        <v>44</v>
      </c>
      <c r="C50" s="70" t="s">
        <v>30</v>
      </c>
    </row>
    <row r="51" spans="1:3" ht="19.5" customHeight="1" x14ac:dyDescent="0.35">
      <c r="A51" s="67"/>
      <c r="B51" s="65"/>
      <c r="C51" s="70"/>
    </row>
    <row r="52" spans="1:3" ht="59.5" customHeight="1" x14ac:dyDescent="0.35">
      <c r="A52" s="71" t="s">
        <v>40</v>
      </c>
      <c r="B52" s="74" t="s">
        <v>30</v>
      </c>
      <c r="C52" s="183" t="s">
        <v>109</v>
      </c>
    </row>
    <row r="53" spans="1:3" ht="43.5" customHeight="1" x14ac:dyDescent="0.35">
      <c r="A53" s="72"/>
      <c r="B53" s="75"/>
      <c r="C53" s="184"/>
    </row>
    <row r="54" spans="1:3" ht="23" customHeight="1" x14ac:dyDescent="0.35">
      <c r="A54" s="72"/>
      <c r="B54" s="75"/>
      <c r="C54" s="184"/>
    </row>
    <row r="55" spans="1:3" ht="29.5" customHeight="1" x14ac:dyDescent="0.35">
      <c r="A55" s="72"/>
      <c r="B55" s="75"/>
      <c r="C55" s="184"/>
    </row>
    <row r="56" spans="1:3" ht="37.5" customHeight="1" thickBot="1" x14ac:dyDescent="0.4">
      <c r="A56" s="73"/>
      <c r="B56" s="76"/>
      <c r="C56" s="185"/>
    </row>
  </sheetData>
  <mergeCells count="80">
    <mergeCell ref="I28:I29"/>
    <mergeCell ref="H30:I30"/>
    <mergeCell ref="G31:G32"/>
    <mergeCell ref="H24:I24"/>
    <mergeCell ref="G25:G26"/>
    <mergeCell ref="H25:H26"/>
    <mergeCell ref="I25:I26"/>
    <mergeCell ref="A52:A56"/>
    <mergeCell ref="A18:A19"/>
    <mergeCell ref="B6:B15"/>
    <mergeCell ref="A6:A15"/>
    <mergeCell ref="A20:A25"/>
    <mergeCell ref="B20:B25"/>
    <mergeCell ref="A33:C33"/>
    <mergeCell ref="A30:A31"/>
    <mergeCell ref="B30:B31"/>
    <mergeCell ref="C30:C31"/>
    <mergeCell ref="A41:A43"/>
    <mergeCell ref="B41:B43"/>
    <mergeCell ref="C41:C43"/>
    <mergeCell ref="A50:A51"/>
    <mergeCell ref="B50:B51"/>
    <mergeCell ref="C50:C51"/>
    <mergeCell ref="C52:C56"/>
    <mergeCell ref="B52:B56"/>
    <mergeCell ref="C20:C25"/>
    <mergeCell ref="H17:I17"/>
    <mergeCell ref="G18:G19"/>
    <mergeCell ref="H18:H19"/>
    <mergeCell ref="I18:I19"/>
    <mergeCell ref="H20:I20"/>
    <mergeCell ref="H31:H32"/>
    <mergeCell ref="I31:I32"/>
    <mergeCell ref="G21:G23"/>
    <mergeCell ref="H27:I27"/>
    <mergeCell ref="H21:H23"/>
    <mergeCell ref="I21:I23"/>
    <mergeCell ref="G28:G29"/>
    <mergeCell ref="H28:H29"/>
    <mergeCell ref="A1:C1"/>
    <mergeCell ref="G1:I1"/>
    <mergeCell ref="G5:G6"/>
    <mergeCell ref="H5:H6"/>
    <mergeCell ref="I5:I6"/>
    <mergeCell ref="C6:C15"/>
    <mergeCell ref="G10:I10"/>
    <mergeCell ref="H11:I11"/>
    <mergeCell ref="G12:G13"/>
    <mergeCell ref="H12:H13"/>
    <mergeCell ref="I12:I13"/>
    <mergeCell ref="H14:I14"/>
    <mergeCell ref="G15:G16"/>
    <mergeCell ref="H15:H16"/>
    <mergeCell ref="I15:I16"/>
    <mergeCell ref="H42:I42"/>
    <mergeCell ref="G43:G44"/>
    <mergeCell ref="H43:H44"/>
    <mergeCell ref="B45:B48"/>
    <mergeCell ref="C45:C48"/>
    <mergeCell ref="I43:I44"/>
    <mergeCell ref="A35:A40"/>
    <mergeCell ref="B35:B40"/>
    <mergeCell ref="C35:C40"/>
    <mergeCell ref="H38:I38"/>
    <mergeCell ref="G39:G41"/>
    <mergeCell ref="H39:H41"/>
    <mergeCell ref="I39:I41"/>
    <mergeCell ref="G36:G37"/>
    <mergeCell ref="H36:H37"/>
    <mergeCell ref="I36:I37"/>
    <mergeCell ref="A45:A48"/>
    <mergeCell ref="H45:I45"/>
    <mergeCell ref="G46:G47"/>
    <mergeCell ref="H46:H47"/>
    <mergeCell ref="I46:I47"/>
    <mergeCell ref="M1:T1"/>
    <mergeCell ref="M2:T10"/>
    <mergeCell ref="M11:T11"/>
    <mergeCell ref="M12:T21"/>
    <mergeCell ref="M22:T22"/>
  </mergeCells>
  <pageMargins left="0.7" right="0.7" top="0.75" bottom="0.75" header="0.3" footer="0.3"/>
  <headerFooter>
    <oddFooter>&amp;C_x000D_&amp;1#&amp;"Aptos"&amp;10&amp;K008000 INTERNAL</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E898A-4782-48DD-B1F4-7022E6307D9E}">
  <dimension ref="A1:T56"/>
  <sheetViews>
    <sheetView zoomScale="87" workbookViewId="0">
      <selection activeCell="H12" sqref="H12:H13"/>
    </sheetView>
  </sheetViews>
  <sheetFormatPr defaultRowHeight="14.5" x14ac:dyDescent="0.35"/>
  <cols>
    <col min="1" max="1" width="26.26953125" customWidth="1"/>
    <col min="2" max="2" width="35.81640625" customWidth="1"/>
    <col min="3" max="3" width="39.08984375" customWidth="1"/>
    <col min="4" max="4" width="5.6328125" customWidth="1"/>
    <col min="5" max="5" width="2.453125" style="20" customWidth="1"/>
    <col min="6" max="6" width="5.6328125" customWidth="1"/>
    <col min="7" max="7" width="35.08984375" customWidth="1"/>
    <col min="8" max="8" width="25.81640625" customWidth="1"/>
    <col min="9" max="9" width="32.1796875" customWidth="1"/>
    <col min="10" max="10" width="5.6328125" customWidth="1"/>
    <col min="11" max="11" width="2.453125" style="20" customWidth="1"/>
    <col min="12" max="12" width="5.6328125" customWidth="1"/>
    <col min="13" max="13" width="15.26953125" bestFit="1" customWidth="1"/>
  </cols>
  <sheetData>
    <row r="1" spans="1:20" ht="15" thickBot="1" x14ac:dyDescent="0.4">
      <c r="A1" s="132" t="s">
        <v>26</v>
      </c>
      <c r="B1" s="133"/>
      <c r="C1" s="134"/>
      <c r="G1" s="137" t="s">
        <v>61</v>
      </c>
      <c r="H1" s="138"/>
      <c r="I1" s="139"/>
      <c r="M1" s="137" t="s">
        <v>124</v>
      </c>
      <c r="N1" s="138"/>
      <c r="O1" s="138"/>
      <c r="P1" s="138"/>
      <c r="Q1" s="138"/>
      <c r="R1" s="138"/>
      <c r="S1" s="138"/>
      <c r="T1" s="139"/>
    </row>
    <row r="2" spans="1:20" x14ac:dyDescent="0.35">
      <c r="A2" s="13" t="s">
        <v>0</v>
      </c>
      <c r="B2" s="12" t="s">
        <v>12</v>
      </c>
      <c r="C2" s="42" t="s">
        <v>93</v>
      </c>
      <c r="G2" s="9"/>
      <c r="H2" s="30" t="s">
        <v>28</v>
      </c>
      <c r="I2" s="42" t="s">
        <v>94</v>
      </c>
      <c r="M2" s="150" t="s">
        <v>135</v>
      </c>
      <c r="N2" s="144"/>
      <c r="O2" s="144"/>
      <c r="P2" s="144"/>
      <c r="Q2" s="144"/>
      <c r="R2" s="144"/>
      <c r="S2" s="144"/>
      <c r="T2" s="145"/>
    </row>
    <row r="3" spans="1:20" x14ac:dyDescent="0.35">
      <c r="A3" s="14" t="s">
        <v>1</v>
      </c>
      <c r="B3" s="2" t="s">
        <v>14</v>
      </c>
      <c r="C3" s="4" t="s">
        <v>94</v>
      </c>
      <c r="G3" s="9" t="s">
        <v>53</v>
      </c>
      <c r="H3" s="1" t="s">
        <v>54</v>
      </c>
      <c r="I3" s="10" t="s">
        <v>54</v>
      </c>
      <c r="M3" s="143"/>
      <c r="N3" s="144"/>
      <c r="O3" s="144"/>
      <c r="P3" s="144"/>
      <c r="Q3" s="144"/>
      <c r="R3" s="144"/>
      <c r="S3" s="144"/>
      <c r="T3" s="145"/>
    </row>
    <row r="4" spans="1:20" ht="16" customHeight="1" x14ac:dyDescent="0.35">
      <c r="A4" s="14" t="s">
        <v>2</v>
      </c>
      <c r="B4" s="2" t="s">
        <v>16</v>
      </c>
      <c r="C4" s="4" t="s">
        <v>16</v>
      </c>
      <c r="G4" s="9" t="s">
        <v>8</v>
      </c>
      <c r="H4" s="1" t="s">
        <v>52</v>
      </c>
      <c r="I4" s="10" t="s">
        <v>52</v>
      </c>
      <c r="M4" s="143"/>
      <c r="N4" s="144"/>
      <c r="O4" s="144"/>
      <c r="P4" s="144"/>
      <c r="Q4" s="144"/>
      <c r="R4" s="144"/>
      <c r="S4" s="144"/>
      <c r="T4" s="145"/>
    </row>
    <row r="5" spans="1:20" ht="18.5" customHeight="1" x14ac:dyDescent="0.35">
      <c r="A5" s="14" t="s">
        <v>3</v>
      </c>
      <c r="B5" s="2" t="s">
        <v>17</v>
      </c>
      <c r="C5" s="4" t="s">
        <v>18</v>
      </c>
      <c r="G5" s="149" t="s">
        <v>7</v>
      </c>
      <c r="H5" s="95">
        <v>500000000</v>
      </c>
      <c r="I5" s="92">
        <v>500000000</v>
      </c>
      <c r="M5" s="143"/>
      <c r="N5" s="144"/>
      <c r="O5" s="144"/>
      <c r="P5" s="144"/>
      <c r="Q5" s="144"/>
      <c r="R5" s="144"/>
      <c r="S5" s="144"/>
      <c r="T5" s="145"/>
    </row>
    <row r="6" spans="1:20" ht="20" customHeight="1" x14ac:dyDescent="0.35">
      <c r="A6" s="82" t="s">
        <v>4</v>
      </c>
      <c r="B6" s="84" t="s">
        <v>19</v>
      </c>
      <c r="C6" s="180" t="s">
        <v>95</v>
      </c>
      <c r="G6" s="149"/>
      <c r="H6" s="95"/>
      <c r="I6" s="92"/>
      <c r="M6" s="143"/>
      <c r="N6" s="144"/>
      <c r="O6" s="144"/>
      <c r="P6" s="144"/>
      <c r="Q6" s="144"/>
      <c r="R6" s="144"/>
      <c r="S6" s="144"/>
      <c r="T6" s="145"/>
    </row>
    <row r="7" spans="1:20" ht="21.5" customHeight="1" x14ac:dyDescent="0.35">
      <c r="A7" s="83"/>
      <c r="B7" s="85"/>
      <c r="C7" s="181"/>
      <c r="G7" s="36" t="s">
        <v>5</v>
      </c>
      <c r="H7" s="21" t="s">
        <v>22</v>
      </c>
      <c r="I7" s="10" t="s">
        <v>91</v>
      </c>
      <c r="M7" s="143"/>
      <c r="N7" s="144"/>
      <c r="O7" s="144"/>
      <c r="P7" s="144"/>
      <c r="Q7" s="144"/>
      <c r="R7" s="144"/>
      <c r="S7" s="144"/>
      <c r="T7" s="145"/>
    </row>
    <row r="8" spans="1:20" ht="21.5" customHeight="1" x14ac:dyDescent="0.35">
      <c r="A8" s="83"/>
      <c r="B8" s="85"/>
      <c r="C8" s="181"/>
      <c r="G8" s="9" t="s">
        <v>51</v>
      </c>
      <c r="H8" s="48">
        <v>9610000</v>
      </c>
      <c r="I8" s="25">
        <v>18667000</v>
      </c>
      <c r="M8" s="143"/>
      <c r="N8" s="144"/>
      <c r="O8" s="144"/>
      <c r="P8" s="144"/>
      <c r="Q8" s="144"/>
      <c r="R8" s="144"/>
      <c r="S8" s="144"/>
      <c r="T8" s="145"/>
    </row>
    <row r="9" spans="1:20" x14ac:dyDescent="0.35">
      <c r="A9" s="83"/>
      <c r="B9" s="85"/>
      <c r="C9" s="181"/>
      <c r="G9" s="9" t="s">
        <v>92</v>
      </c>
      <c r="H9" s="47">
        <v>392700000</v>
      </c>
      <c r="I9" s="55">
        <f>I8*5</f>
        <v>93335000</v>
      </c>
      <c r="M9" s="143"/>
      <c r="N9" s="144"/>
      <c r="O9" s="144"/>
      <c r="P9" s="144"/>
      <c r="Q9" s="144"/>
      <c r="R9" s="144"/>
      <c r="S9" s="144"/>
      <c r="T9" s="145"/>
    </row>
    <row r="10" spans="1:20" x14ac:dyDescent="0.35">
      <c r="A10" s="83"/>
      <c r="B10" s="85"/>
      <c r="C10" s="181"/>
      <c r="G10" s="125" t="s">
        <v>67</v>
      </c>
      <c r="H10" s="126"/>
      <c r="I10" s="127"/>
      <c r="M10" s="143"/>
      <c r="N10" s="144"/>
      <c r="O10" s="144"/>
      <c r="P10" s="144"/>
      <c r="Q10" s="144"/>
      <c r="R10" s="144"/>
      <c r="S10" s="144"/>
      <c r="T10" s="145"/>
    </row>
    <row r="11" spans="1:20" ht="18" customHeight="1" x14ac:dyDescent="0.35">
      <c r="A11" s="83"/>
      <c r="B11" s="85"/>
      <c r="C11" s="181"/>
      <c r="G11" s="32" t="s">
        <v>59</v>
      </c>
      <c r="H11" s="107" t="s">
        <v>68</v>
      </c>
      <c r="I11" s="108"/>
      <c r="M11" s="128"/>
      <c r="N11" s="129"/>
      <c r="O11" s="129"/>
      <c r="P11" s="129"/>
      <c r="Q11" s="129"/>
      <c r="R11" s="129"/>
      <c r="S11" s="129"/>
      <c r="T11" s="130"/>
    </row>
    <row r="12" spans="1:20" ht="15" customHeight="1" x14ac:dyDescent="0.35">
      <c r="A12" s="83"/>
      <c r="B12" s="85"/>
      <c r="C12" s="181"/>
      <c r="G12" s="101" t="s">
        <v>55</v>
      </c>
      <c r="H12" s="95">
        <f>25%*H5</f>
        <v>125000000</v>
      </c>
      <c r="I12" s="92">
        <f>25%*I5</f>
        <v>125000000</v>
      </c>
      <c r="K12" s="20" t="s">
        <v>50</v>
      </c>
      <c r="M12" s="123" t="s">
        <v>127</v>
      </c>
      <c r="N12" s="162"/>
      <c r="O12" s="162"/>
      <c r="P12" s="162"/>
      <c r="Q12" s="162"/>
      <c r="R12" s="162"/>
      <c r="S12" s="162"/>
      <c r="T12" s="163"/>
    </row>
    <row r="13" spans="1:20" ht="14.5" customHeight="1" x14ac:dyDescent="0.35">
      <c r="A13" s="83"/>
      <c r="B13" s="85"/>
      <c r="C13" s="181"/>
      <c r="G13" s="101"/>
      <c r="H13" s="95"/>
      <c r="I13" s="92"/>
      <c r="M13" s="164"/>
      <c r="N13" s="162"/>
      <c r="O13" s="162"/>
      <c r="P13" s="162"/>
      <c r="Q13" s="162"/>
      <c r="R13" s="162"/>
      <c r="S13" s="162"/>
      <c r="T13" s="163"/>
    </row>
    <row r="14" spans="1:20" ht="14.5" customHeight="1" x14ac:dyDescent="0.35">
      <c r="A14" s="83"/>
      <c r="B14" s="85"/>
      <c r="C14" s="181"/>
      <c r="G14" s="9"/>
      <c r="H14" s="107" t="s">
        <v>48</v>
      </c>
      <c r="I14" s="108"/>
      <c r="M14" s="164"/>
      <c r="N14" s="162"/>
      <c r="O14" s="162"/>
      <c r="P14" s="162"/>
      <c r="Q14" s="162"/>
      <c r="R14" s="162"/>
      <c r="S14" s="162"/>
      <c r="T14" s="163"/>
    </row>
    <row r="15" spans="1:20" x14ac:dyDescent="0.35">
      <c r="A15" s="153"/>
      <c r="B15" s="186"/>
      <c r="C15" s="182"/>
      <c r="G15" s="101" t="s">
        <v>58</v>
      </c>
      <c r="H15" s="95">
        <f>25%*H5</f>
        <v>125000000</v>
      </c>
      <c r="I15" s="92">
        <f>H15</f>
        <v>125000000</v>
      </c>
      <c r="M15" s="164"/>
      <c r="N15" s="162"/>
      <c r="O15" s="162"/>
      <c r="P15" s="162"/>
      <c r="Q15" s="162"/>
      <c r="R15" s="162"/>
      <c r="S15" s="162"/>
      <c r="T15" s="163"/>
    </row>
    <row r="16" spans="1:20" x14ac:dyDescent="0.35">
      <c r="A16" s="14" t="s">
        <v>5</v>
      </c>
      <c r="B16" s="2" t="s">
        <v>22</v>
      </c>
      <c r="C16" s="37" t="s">
        <v>96</v>
      </c>
      <c r="G16" s="101"/>
      <c r="H16" s="95"/>
      <c r="I16" s="92"/>
      <c r="M16" s="164"/>
      <c r="N16" s="162"/>
      <c r="O16" s="162"/>
      <c r="P16" s="162"/>
      <c r="Q16" s="162"/>
      <c r="R16" s="162"/>
      <c r="S16" s="162"/>
      <c r="T16" s="163"/>
    </row>
    <row r="17" spans="1:20" x14ac:dyDescent="0.35">
      <c r="A17" s="14" t="s">
        <v>6</v>
      </c>
      <c r="B17" s="2" t="s">
        <v>23</v>
      </c>
      <c r="C17" s="37" t="s">
        <v>97</v>
      </c>
      <c r="G17" s="24"/>
      <c r="H17" s="121" t="s">
        <v>63</v>
      </c>
      <c r="I17" s="122"/>
      <c r="M17" s="164"/>
      <c r="N17" s="162"/>
      <c r="O17" s="162"/>
      <c r="P17" s="162"/>
      <c r="Q17" s="162"/>
      <c r="R17" s="162"/>
      <c r="S17" s="162"/>
      <c r="T17" s="163"/>
    </row>
    <row r="18" spans="1:20" ht="26" customHeight="1" x14ac:dyDescent="0.35">
      <c r="A18" s="82" t="s">
        <v>7</v>
      </c>
      <c r="B18" s="3" t="s">
        <v>33</v>
      </c>
      <c r="C18" s="37" t="s">
        <v>98</v>
      </c>
      <c r="G18" s="101" t="s">
        <v>65</v>
      </c>
      <c r="H18" s="124" t="s">
        <v>136</v>
      </c>
      <c r="I18" s="92" t="s">
        <v>30</v>
      </c>
      <c r="M18" s="164"/>
      <c r="N18" s="162"/>
      <c r="O18" s="162"/>
      <c r="P18" s="162"/>
      <c r="Q18" s="162"/>
      <c r="R18" s="162"/>
      <c r="S18" s="162"/>
      <c r="T18" s="163"/>
    </row>
    <row r="19" spans="1:20" x14ac:dyDescent="0.35">
      <c r="A19" s="153"/>
      <c r="B19" s="3" t="s">
        <v>34</v>
      </c>
      <c r="C19" s="37" t="s">
        <v>99</v>
      </c>
      <c r="G19" s="101"/>
      <c r="H19" s="124"/>
      <c r="I19" s="92"/>
      <c r="M19" s="164"/>
      <c r="N19" s="162"/>
      <c r="O19" s="162"/>
      <c r="P19" s="162"/>
      <c r="Q19" s="162"/>
      <c r="R19" s="162"/>
      <c r="S19" s="162"/>
      <c r="T19" s="163"/>
    </row>
    <row r="20" spans="1:20" x14ac:dyDescent="0.35">
      <c r="A20" s="187" t="s">
        <v>8</v>
      </c>
      <c r="B20" s="190" t="s">
        <v>20</v>
      </c>
      <c r="C20" s="180" t="s">
        <v>100</v>
      </c>
      <c r="G20" s="34" t="s">
        <v>60</v>
      </c>
      <c r="H20" s="121" t="s">
        <v>47</v>
      </c>
      <c r="I20" s="122"/>
      <c r="M20" s="164"/>
      <c r="N20" s="162"/>
      <c r="O20" s="162"/>
      <c r="P20" s="162"/>
      <c r="Q20" s="162"/>
      <c r="R20" s="162"/>
      <c r="S20" s="162"/>
      <c r="T20" s="163"/>
    </row>
    <row r="21" spans="1:20" ht="21.5" customHeight="1" x14ac:dyDescent="0.35">
      <c r="A21" s="188"/>
      <c r="B21" s="191"/>
      <c r="C21" s="181"/>
      <c r="G21" s="123" t="s">
        <v>111</v>
      </c>
      <c r="H21" s="95">
        <v>250000000</v>
      </c>
      <c r="I21" s="92">
        <f>I5-I12-I15</f>
        <v>250000000</v>
      </c>
      <c r="M21" s="164"/>
      <c r="N21" s="162"/>
      <c r="O21" s="162"/>
      <c r="P21" s="162"/>
      <c r="Q21" s="162"/>
      <c r="R21" s="162"/>
      <c r="S21" s="162"/>
      <c r="T21" s="163"/>
    </row>
    <row r="22" spans="1:20" ht="15" thickBot="1" x14ac:dyDescent="0.4">
      <c r="A22" s="188"/>
      <c r="B22" s="191"/>
      <c r="C22" s="181"/>
      <c r="G22" s="123"/>
      <c r="H22" s="95"/>
      <c r="I22" s="92"/>
      <c r="M22" s="165"/>
      <c r="N22" s="166"/>
      <c r="O22" s="166"/>
      <c r="P22" s="166"/>
      <c r="Q22" s="166"/>
      <c r="R22" s="166"/>
      <c r="S22" s="166"/>
      <c r="T22" s="167"/>
    </row>
    <row r="23" spans="1:20" x14ac:dyDescent="0.35">
      <c r="A23" s="188"/>
      <c r="B23" s="191"/>
      <c r="C23" s="181"/>
      <c r="G23" s="123"/>
      <c r="H23" s="95"/>
      <c r="I23" s="92"/>
    </row>
    <row r="24" spans="1:20" x14ac:dyDescent="0.35">
      <c r="A24" s="188"/>
      <c r="B24" s="191"/>
      <c r="C24" s="181"/>
      <c r="G24" s="49"/>
      <c r="H24" s="107" t="s">
        <v>39</v>
      </c>
      <c r="I24" s="108"/>
    </row>
    <row r="25" spans="1:20" ht="28.5" customHeight="1" x14ac:dyDescent="0.35">
      <c r="A25" s="189"/>
      <c r="B25" s="192"/>
      <c r="C25" s="182"/>
      <c r="G25" s="123" t="s">
        <v>64</v>
      </c>
      <c r="H25" s="95">
        <f>H21</f>
        <v>250000000</v>
      </c>
      <c r="I25" s="92">
        <f>I5</f>
        <v>500000000</v>
      </c>
    </row>
    <row r="26" spans="1:20" x14ac:dyDescent="0.35">
      <c r="A26" s="14" t="s">
        <v>9</v>
      </c>
      <c r="B26" s="2" t="s">
        <v>21</v>
      </c>
      <c r="C26" s="4" t="s">
        <v>21</v>
      </c>
      <c r="G26" s="123"/>
      <c r="H26" s="95"/>
      <c r="I26" s="92"/>
    </row>
    <row r="27" spans="1:20" x14ac:dyDescent="0.35">
      <c r="A27" s="14" t="s">
        <v>10</v>
      </c>
      <c r="B27" s="2" t="s">
        <v>24</v>
      </c>
      <c r="C27" s="4" t="s">
        <v>101</v>
      </c>
      <c r="G27" s="24"/>
      <c r="H27" s="107" t="s">
        <v>49</v>
      </c>
      <c r="I27" s="108"/>
    </row>
    <row r="28" spans="1:20" x14ac:dyDescent="0.35">
      <c r="A28" s="41" t="s">
        <v>11</v>
      </c>
      <c r="B28" s="2" t="s">
        <v>25</v>
      </c>
      <c r="C28" s="37" t="s">
        <v>25</v>
      </c>
      <c r="G28" s="90" t="s">
        <v>66</v>
      </c>
      <c r="H28" s="95">
        <v>267665000</v>
      </c>
      <c r="I28" s="92" t="s">
        <v>30</v>
      </c>
    </row>
    <row r="29" spans="1:20" ht="14.5" customHeight="1" x14ac:dyDescent="0.35">
      <c r="A29" s="44" t="s">
        <v>29</v>
      </c>
      <c r="B29" s="43" t="s">
        <v>30</v>
      </c>
      <c r="C29" s="45" t="s">
        <v>102</v>
      </c>
      <c r="G29" s="90"/>
      <c r="H29" s="95"/>
      <c r="I29" s="92"/>
    </row>
    <row r="30" spans="1:20" ht="23" customHeight="1" x14ac:dyDescent="0.35">
      <c r="A30" s="67" t="s">
        <v>103</v>
      </c>
      <c r="B30" s="69" t="s">
        <v>30</v>
      </c>
      <c r="C30" s="193" t="s">
        <v>104</v>
      </c>
      <c r="G30" s="29"/>
      <c r="H30" s="107" t="s">
        <v>40</v>
      </c>
      <c r="I30" s="108"/>
    </row>
    <row r="31" spans="1:20" ht="24.5" customHeight="1" thickBot="1" x14ac:dyDescent="0.4">
      <c r="A31" s="103"/>
      <c r="B31" s="104"/>
      <c r="C31" s="194"/>
      <c r="G31" s="101" t="s">
        <v>70</v>
      </c>
      <c r="H31" s="95" t="s">
        <v>30</v>
      </c>
      <c r="I31" s="92">
        <f>100%*I9</f>
        <v>93335000</v>
      </c>
    </row>
    <row r="32" spans="1:20" ht="14.5" customHeight="1" thickBot="1" x14ac:dyDescent="0.4">
      <c r="A32" s="46"/>
      <c r="B32" s="1"/>
      <c r="C32" s="1"/>
      <c r="G32" s="109"/>
      <c r="H32" s="110"/>
      <c r="I32" s="111"/>
    </row>
    <row r="33" spans="1:9" ht="15" thickBot="1" x14ac:dyDescent="0.4">
      <c r="A33" s="98" t="s">
        <v>27</v>
      </c>
      <c r="B33" s="99"/>
      <c r="C33" s="100"/>
      <c r="G33" s="51"/>
      <c r="H33" s="52"/>
      <c r="I33" s="53"/>
    </row>
    <row r="34" spans="1:9" x14ac:dyDescent="0.35">
      <c r="A34" s="17"/>
      <c r="B34" s="7" t="s">
        <v>28</v>
      </c>
      <c r="C34" s="42" t="s">
        <v>94</v>
      </c>
      <c r="G34" s="51"/>
      <c r="H34" s="52"/>
      <c r="I34" s="53"/>
    </row>
    <row r="35" spans="1:9" ht="14.5" customHeight="1" x14ac:dyDescent="0.35">
      <c r="A35" s="67" t="s">
        <v>46</v>
      </c>
      <c r="B35" s="97" t="s">
        <v>105</v>
      </c>
      <c r="C35" s="66" t="s">
        <v>119</v>
      </c>
      <c r="G35" s="51"/>
      <c r="H35" s="52"/>
      <c r="I35" s="53"/>
    </row>
    <row r="36" spans="1:9" ht="14.5" customHeight="1" x14ac:dyDescent="0.35">
      <c r="A36" s="67"/>
      <c r="B36" s="97"/>
      <c r="C36" s="66"/>
      <c r="G36" s="101"/>
      <c r="H36" s="91"/>
      <c r="I36" s="81"/>
    </row>
    <row r="37" spans="1:9" x14ac:dyDescent="0.35">
      <c r="A37" s="67"/>
      <c r="B37" s="97"/>
      <c r="C37" s="66"/>
      <c r="G37" s="101"/>
      <c r="H37" s="91"/>
      <c r="I37" s="81"/>
    </row>
    <row r="38" spans="1:9" ht="14.5" customHeight="1" x14ac:dyDescent="0.35">
      <c r="A38" s="67"/>
      <c r="B38" s="97"/>
      <c r="C38" s="66"/>
      <c r="G38" s="29"/>
      <c r="H38" s="93"/>
      <c r="I38" s="94"/>
    </row>
    <row r="39" spans="1:9" ht="18.5" customHeight="1" x14ac:dyDescent="0.35">
      <c r="A39" s="67"/>
      <c r="B39" s="97"/>
      <c r="C39" s="66"/>
      <c r="G39" s="90"/>
      <c r="H39" s="95"/>
      <c r="I39" s="92"/>
    </row>
    <row r="40" spans="1:9" ht="22.5" customHeight="1" x14ac:dyDescent="0.35">
      <c r="A40" s="67"/>
      <c r="B40" s="97"/>
      <c r="C40" s="66"/>
      <c r="G40" s="90"/>
      <c r="H40" s="91"/>
      <c r="I40" s="81"/>
    </row>
    <row r="41" spans="1:9" x14ac:dyDescent="0.35">
      <c r="A41" s="96" t="s">
        <v>47</v>
      </c>
      <c r="B41" s="65" t="s">
        <v>107</v>
      </c>
      <c r="C41" s="161" t="s">
        <v>133</v>
      </c>
      <c r="G41" s="90"/>
      <c r="H41" s="91"/>
      <c r="I41" s="81"/>
    </row>
    <row r="42" spans="1:9" ht="20.5" customHeight="1" x14ac:dyDescent="0.35">
      <c r="A42" s="96"/>
      <c r="B42" s="65"/>
      <c r="C42" s="161"/>
      <c r="G42" s="35"/>
      <c r="H42" s="88"/>
      <c r="I42" s="89"/>
    </row>
    <row r="43" spans="1:9" ht="45.5" customHeight="1" x14ac:dyDescent="0.35">
      <c r="A43" s="96"/>
      <c r="B43" s="65"/>
      <c r="C43" s="161"/>
      <c r="G43" s="90"/>
      <c r="H43" s="80"/>
      <c r="I43" s="81"/>
    </row>
    <row r="44" spans="1:9" x14ac:dyDescent="0.35">
      <c r="A44" s="15" t="s">
        <v>48</v>
      </c>
      <c r="B44" s="2" t="s">
        <v>116</v>
      </c>
      <c r="C44" s="4" t="s">
        <v>116</v>
      </c>
      <c r="G44" s="90"/>
      <c r="H44" s="80"/>
      <c r="I44" s="81"/>
    </row>
    <row r="45" spans="1:9" ht="14" customHeight="1" x14ac:dyDescent="0.35">
      <c r="A45" s="82" t="s">
        <v>39</v>
      </c>
      <c r="B45" s="84" t="s">
        <v>41</v>
      </c>
      <c r="C45" s="178" t="s">
        <v>108</v>
      </c>
      <c r="G45" s="9"/>
      <c r="H45" s="88"/>
      <c r="I45" s="89"/>
    </row>
    <row r="46" spans="1:9" ht="29.5" customHeight="1" x14ac:dyDescent="0.35">
      <c r="A46" s="83"/>
      <c r="B46" s="85"/>
      <c r="C46" s="179"/>
      <c r="G46" s="90"/>
      <c r="H46" s="91"/>
      <c r="I46" s="92"/>
    </row>
    <row r="47" spans="1:9" ht="26" customHeight="1" x14ac:dyDescent="0.35">
      <c r="A47" s="83"/>
      <c r="B47" s="85"/>
      <c r="C47" s="179"/>
      <c r="G47" s="90"/>
      <c r="H47" s="91"/>
      <c r="I47" s="81"/>
    </row>
    <row r="48" spans="1:9" ht="19.5" customHeight="1" thickBot="1" x14ac:dyDescent="0.4">
      <c r="A48" s="83"/>
      <c r="B48" s="85"/>
      <c r="C48" s="179"/>
      <c r="G48" s="26"/>
      <c r="H48" s="27"/>
      <c r="I48" s="28"/>
    </row>
    <row r="49" spans="1:3" ht="58" x14ac:dyDescent="0.35">
      <c r="A49" s="18" t="s">
        <v>42</v>
      </c>
      <c r="B49" s="3" t="s">
        <v>88</v>
      </c>
      <c r="C49" s="37" t="s">
        <v>30</v>
      </c>
    </row>
    <row r="50" spans="1:3" x14ac:dyDescent="0.35">
      <c r="A50" s="67" t="s">
        <v>49</v>
      </c>
      <c r="B50" s="65" t="s">
        <v>44</v>
      </c>
      <c r="C50" s="70" t="s">
        <v>30</v>
      </c>
    </row>
    <row r="51" spans="1:3" ht="19.5" customHeight="1" x14ac:dyDescent="0.35">
      <c r="A51" s="67"/>
      <c r="B51" s="65"/>
      <c r="C51" s="70"/>
    </row>
    <row r="52" spans="1:3" ht="59.5" customHeight="1" x14ac:dyDescent="0.35">
      <c r="A52" s="71" t="s">
        <v>40</v>
      </c>
      <c r="B52" s="74" t="s">
        <v>30</v>
      </c>
      <c r="C52" s="183" t="s">
        <v>109</v>
      </c>
    </row>
    <row r="53" spans="1:3" ht="43.5" customHeight="1" x14ac:dyDescent="0.35">
      <c r="A53" s="72"/>
      <c r="B53" s="75"/>
      <c r="C53" s="184"/>
    </row>
    <row r="54" spans="1:3" ht="23" customHeight="1" x14ac:dyDescent="0.35">
      <c r="A54" s="72"/>
      <c r="B54" s="75"/>
      <c r="C54" s="184"/>
    </row>
    <row r="55" spans="1:3" ht="29.5" customHeight="1" x14ac:dyDescent="0.35">
      <c r="A55" s="72"/>
      <c r="B55" s="75"/>
      <c r="C55" s="184"/>
    </row>
    <row r="56" spans="1:3" ht="37.5" customHeight="1" thickBot="1" x14ac:dyDescent="0.4">
      <c r="A56" s="73"/>
      <c r="B56" s="76"/>
      <c r="C56" s="185"/>
    </row>
  </sheetData>
  <mergeCells count="80">
    <mergeCell ref="A50:A51"/>
    <mergeCell ref="B50:B51"/>
    <mergeCell ref="C50:C51"/>
    <mergeCell ref="A52:A56"/>
    <mergeCell ref="B52:B56"/>
    <mergeCell ref="C52:C56"/>
    <mergeCell ref="H43:H44"/>
    <mergeCell ref="I43:I44"/>
    <mergeCell ref="A45:A48"/>
    <mergeCell ref="B45:B48"/>
    <mergeCell ref="C45:C48"/>
    <mergeCell ref="H45:I45"/>
    <mergeCell ref="G46:G47"/>
    <mergeCell ref="H46:H47"/>
    <mergeCell ref="I46:I47"/>
    <mergeCell ref="A41:A43"/>
    <mergeCell ref="B41:B43"/>
    <mergeCell ref="C41:C43"/>
    <mergeCell ref="H42:I42"/>
    <mergeCell ref="G43:G44"/>
    <mergeCell ref="I36:I37"/>
    <mergeCell ref="H38:I38"/>
    <mergeCell ref="G39:G41"/>
    <mergeCell ref="H39:H41"/>
    <mergeCell ref="I39:I41"/>
    <mergeCell ref="H36:H37"/>
    <mergeCell ref="A33:C33"/>
    <mergeCell ref="A35:A40"/>
    <mergeCell ref="B35:B40"/>
    <mergeCell ref="C35:C40"/>
    <mergeCell ref="G36:G37"/>
    <mergeCell ref="G28:G29"/>
    <mergeCell ref="H28:H29"/>
    <mergeCell ref="I28:I29"/>
    <mergeCell ref="A30:A31"/>
    <mergeCell ref="B30:B31"/>
    <mergeCell ref="C30:C31"/>
    <mergeCell ref="H30:I30"/>
    <mergeCell ref="G31:G32"/>
    <mergeCell ref="H31:H32"/>
    <mergeCell ref="I31:I32"/>
    <mergeCell ref="M22:T22"/>
    <mergeCell ref="H24:I24"/>
    <mergeCell ref="G25:G26"/>
    <mergeCell ref="H25:H26"/>
    <mergeCell ref="I25:I26"/>
    <mergeCell ref="A18:A19"/>
    <mergeCell ref="G18:G19"/>
    <mergeCell ref="H18:H19"/>
    <mergeCell ref="I18:I19"/>
    <mergeCell ref="H27:I27"/>
    <mergeCell ref="A20:A25"/>
    <mergeCell ref="B20:B25"/>
    <mergeCell ref="C20:C25"/>
    <mergeCell ref="H20:I20"/>
    <mergeCell ref="G21:G23"/>
    <mergeCell ref="H21:H23"/>
    <mergeCell ref="I21:I23"/>
    <mergeCell ref="M12:T21"/>
    <mergeCell ref="H14:I14"/>
    <mergeCell ref="G15:G16"/>
    <mergeCell ref="H15:H16"/>
    <mergeCell ref="I15:I16"/>
    <mergeCell ref="H17:I17"/>
    <mergeCell ref="A1:C1"/>
    <mergeCell ref="G1:I1"/>
    <mergeCell ref="M1:T1"/>
    <mergeCell ref="M2:T10"/>
    <mergeCell ref="G5:G6"/>
    <mergeCell ref="H5:H6"/>
    <mergeCell ref="I5:I6"/>
    <mergeCell ref="A6:A15"/>
    <mergeCell ref="B6:B15"/>
    <mergeCell ref="C6:C15"/>
    <mergeCell ref="G10:I10"/>
    <mergeCell ref="H11:I11"/>
    <mergeCell ref="M11:T11"/>
    <mergeCell ref="G12:G13"/>
    <mergeCell ref="H12:H13"/>
    <mergeCell ref="I12:I13"/>
  </mergeCells>
  <pageMargins left="0.7" right="0.7" top="0.75" bottom="0.75" header="0.3" footer="0.3"/>
  <headerFooter>
    <oddFooter>&amp;C_x000D_&amp;1#&amp;"Aptos"&amp;10&amp;K008000 INTERNAL</oddFooter>
  </headerFooter>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A3FEC-5D84-4E3F-80BD-13D87AE7B831}">
  <dimension ref="A1:T51"/>
  <sheetViews>
    <sheetView zoomScale="69" workbookViewId="0">
      <selection activeCell="M12" sqref="M12:T34"/>
    </sheetView>
  </sheetViews>
  <sheetFormatPr defaultRowHeight="14.5" x14ac:dyDescent="0.35"/>
  <cols>
    <col min="1" max="1" width="26.26953125" customWidth="1"/>
    <col min="2" max="2" width="35.81640625" customWidth="1"/>
    <col min="3" max="3" width="39.08984375" customWidth="1"/>
    <col min="4" max="4" width="5.6328125" customWidth="1"/>
    <col min="5" max="5" width="2.453125" style="20" customWidth="1"/>
    <col min="6" max="6" width="5.6328125" customWidth="1"/>
    <col min="7" max="7" width="41.36328125" customWidth="1"/>
    <col min="8" max="8" width="25.81640625" customWidth="1"/>
    <col min="9" max="9" width="32.1796875" customWidth="1"/>
    <col min="10" max="10" width="12.1796875" customWidth="1"/>
    <col min="11" max="11" width="2.453125" style="20" customWidth="1"/>
    <col min="12" max="12" width="5.6328125" customWidth="1"/>
    <col min="13" max="14" width="16.26953125" bestFit="1" customWidth="1"/>
  </cols>
  <sheetData>
    <row r="1" spans="1:20" ht="15" thickBot="1" x14ac:dyDescent="0.4">
      <c r="A1" s="132" t="s">
        <v>26</v>
      </c>
      <c r="B1" s="133"/>
      <c r="C1" s="134"/>
      <c r="G1" s="98" t="s">
        <v>61</v>
      </c>
      <c r="H1" s="135"/>
      <c r="I1" s="136"/>
      <c r="M1" s="137" t="s">
        <v>124</v>
      </c>
      <c r="N1" s="138"/>
      <c r="O1" s="138"/>
      <c r="P1" s="138"/>
      <c r="Q1" s="138"/>
      <c r="R1" s="138"/>
      <c r="S1" s="138"/>
      <c r="T1" s="139"/>
    </row>
    <row r="2" spans="1:20" x14ac:dyDescent="0.35">
      <c r="A2" s="13" t="s">
        <v>0</v>
      </c>
      <c r="B2" s="12" t="s">
        <v>12</v>
      </c>
      <c r="C2" s="64" t="s">
        <v>137</v>
      </c>
      <c r="G2" s="9"/>
      <c r="H2" s="30" t="s">
        <v>28</v>
      </c>
      <c r="I2" s="64" t="s">
        <v>138</v>
      </c>
      <c r="M2" s="140" t="s">
        <v>148</v>
      </c>
      <c r="N2" s="141"/>
      <c r="O2" s="141"/>
      <c r="P2" s="141"/>
      <c r="Q2" s="141"/>
      <c r="R2" s="141"/>
      <c r="S2" s="141"/>
      <c r="T2" s="142"/>
    </row>
    <row r="3" spans="1:20" x14ac:dyDescent="0.35">
      <c r="A3" s="14" t="s">
        <v>1</v>
      </c>
      <c r="B3" s="2" t="s">
        <v>14</v>
      </c>
      <c r="C3" s="4" t="s">
        <v>138</v>
      </c>
      <c r="G3" s="9" t="s">
        <v>53</v>
      </c>
      <c r="H3" s="1" t="s">
        <v>54</v>
      </c>
      <c r="I3" s="10" t="s">
        <v>54</v>
      </c>
      <c r="M3" s="143"/>
      <c r="N3" s="144"/>
      <c r="O3" s="144"/>
      <c r="P3" s="144"/>
      <c r="Q3" s="144"/>
      <c r="R3" s="144"/>
      <c r="S3" s="144"/>
      <c r="T3" s="145"/>
    </row>
    <row r="4" spans="1:20" ht="16" customHeight="1" x14ac:dyDescent="0.35">
      <c r="A4" s="14" t="s">
        <v>2</v>
      </c>
      <c r="B4" s="2" t="s">
        <v>16</v>
      </c>
      <c r="C4" s="4" t="s">
        <v>139</v>
      </c>
      <c r="G4" s="9" t="s">
        <v>8</v>
      </c>
      <c r="H4" s="1" t="s">
        <v>90</v>
      </c>
      <c r="I4" s="10" t="s">
        <v>90</v>
      </c>
      <c r="M4" s="143"/>
      <c r="N4" s="144"/>
      <c r="O4" s="144"/>
      <c r="P4" s="144"/>
      <c r="Q4" s="144"/>
      <c r="R4" s="144"/>
      <c r="S4" s="144"/>
      <c r="T4" s="145"/>
    </row>
    <row r="5" spans="1:20" ht="18.5" customHeight="1" x14ac:dyDescent="0.35">
      <c r="A5" s="14" t="s">
        <v>3</v>
      </c>
      <c r="B5" s="2" t="s">
        <v>17</v>
      </c>
      <c r="C5" s="4"/>
      <c r="G5" s="149" t="s">
        <v>7</v>
      </c>
      <c r="H5" s="95">
        <v>500000000</v>
      </c>
      <c r="I5" s="92">
        <v>500000000</v>
      </c>
      <c r="M5" s="143"/>
      <c r="N5" s="144"/>
      <c r="O5" s="144"/>
      <c r="P5" s="144"/>
      <c r="Q5" s="144"/>
      <c r="R5" s="144"/>
      <c r="S5" s="144"/>
      <c r="T5" s="145"/>
    </row>
    <row r="6" spans="1:20" ht="20" customHeight="1" x14ac:dyDescent="0.35">
      <c r="A6" s="67" t="s">
        <v>4</v>
      </c>
      <c r="B6" s="65" t="s">
        <v>19</v>
      </c>
      <c r="C6" s="66" t="s">
        <v>144</v>
      </c>
      <c r="G6" s="149"/>
      <c r="H6" s="95"/>
      <c r="I6" s="92"/>
      <c r="M6" s="143"/>
      <c r="N6" s="144"/>
      <c r="O6" s="144"/>
      <c r="P6" s="144"/>
      <c r="Q6" s="144"/>
      <c r="R6" s="144"/>
      <c r="S6" s="144"/>
      <c r="T6" s="145"/>
    </row>
    <row r="7" spans="1:20" ht="21.5" customHeight="1" x14ac:dyDescent="0.35">
      <c r="A7" s="67"/>
      <c r="B7" s="65"/>
      <c r="C7" s="66"/>
      <c r="G7" s="36" t="s">
        <v>5</v>
      </c>
      <c r="H7" s="21" t="s">
        <v>22</v>
      </c>
      <c r="I7" s="10" t="s">
        <v>114</v>
      </c>
      <c r="M7" s="143"/>
      <c r="N7" s="144"/>
      <c r="O7" s="144"/>
      <c r="P7" s="144"/>
      <c r="Q7" s="144"/>
      <c r="R7" s="144"/>
      <c r="S7" s="144"/>
      <c r="T7" s="145"/>
    </row>
    <row r="8" spans="1:20" ht="21.5" customHeight="1" x14ac:dyDescent="0.35">
      <c r="A8" s="67" t="s">
        <v>5</v>
      </c>
      <c r="B8" s="69" t="s">
        <v>22</v>
      </c>
      <c r="C8" s="68"/>
      <c r="G8" s="9" t="s">
        <v>51</v>
      </c>
      <c r="H8" s="48">
        <v>12685000</v>
      </c>
      <c r="I8" s="25">
        <v>26550000</v>
      </c>
      <c r="M8" s="143"/>
      <c r="N8" s="144"/>
      <c r="O8" s="144"/>
      <c r="P8" s="144"/>
      <c r="Q8" s="144"/>
      <c r="R8" s="144"/>
      <c r="S8" s="144"/>
      <c r="T8" s="145"/>
    </row>
    <row r="9" spans="1:20" x14ac:dyDescent="0.35">
      <c r="A9" s="67"/>
      <c r="B9" s="69"/>
      <c r="C9" s="68"/>
      <c r="G9" s="9" t="s">
        <v>92</v>
      </c>
      <c r="H9" s="47">
        <v>568680000</v>
      </c>
      <c r="I9" s="55">
        <f>I8*15</f>
        <v>398250000</v>
      </c>
      <c r="J9" s="60"/>
      <c r="M9" s="143"/>
      <c r="N9" s="144"/>
      <c r="O9" s="144"/>
      <c r="P9" s="144"/>
      <c r="Q9" s="144"/>
      <c r="R9" s="144"/>
      <c r="S9" s="144"/>
      <c r="T9" s="145"/>
    </row>
    <row r="10" spans="1:20" ht="15" thickBot="1" x14ac:dyDescent="0.4">
      <c r="A10" s="67"/>
      <c r="B10" s="69"/>
      <c r="C10" s="68"/>
      <c r="G10" s="125" t="s">
        <v>67</v>
      </c>
      <c r="H10" s="126"/>
      <c r="I10" s="127"/>
      <c r="M10" s="146"/>
      <c r="N10" s="147"/>
      <c r="O10" s="147"/>
      <c r="P10" s="147"/>
      <c r="Q10" s="147"/>
      <c r="R10" s="147"/>
      <c r="S10" s="147"/>
      <c r="T10" s="148"/>
    </row>
    <row r="11" spans="1:20" ht="18" customHeight="1" thickBot="1" x14ac:dyDescent="0.4">
      <c r="A11" s="67"/>
      <c r="B11" s="69"/>
      <c r="C11" s="68"/>
      <c r="G11" s="32" t="s">
        <v>59</v>
      </c>
      <c r="H11" s="107" t="s">
        <v>68</v>
      </c>
      <c r="I11" s="108"/>
      <c r="M11" s="128"/>
      <c r="N11" s="129"/>
      <c r="O11" s="129"/>
      <c r="P11" s="129"/>
      <c r="Q11" s="129"/>
      <c r="R11" s="129"/>
      <c r="S11" s="129"/>
      <c r="T11" s="130"/>
    </row>
    <row r="12" spans="1:20" ht="15" customHeight="1" x14ac:dyDescent="0.35">
      <c r="A12" s="67"/>
      <c r="B12" s="69"/>
      <c r="C12" s="68"/>
      <c r="G12" s="101" t="s">
        <v>55</v>
      </c>
      <c r="H12" s="95">
        <f>25%*H5</f>
        <v>125000000</v>
      </c>
      <c r="I12" s="131">
        <f>50%*I5</f>
        <v>250000000</v>
      </c>
      <c r="K12" s="20" t="s">
        <v>50</v>
      </c>
      <c r="M12" s="112" t="s">
        <v>149</v>
      </c>
      <c r="N12" s="113"/>
      <c r="O12" s="113"/>
      <c r="P12" s="113"/>
      <c r="Q12" s="113"/>
      <c r="R12" s="113"/>
      <c r="S12" s="113"/>
      <c r="T12" s="114"/>
    </row>
    <row r="13" spans="1:20" ht="14.5" customHeight="1" x14ac:dyDescent="0.35">
      <c r="A13" s="67"/>
      <c r="B13" s="69"/>
      <c r="C13" s="68"/>
      <c r="G13" s="101"/>
      <c r="H13" s="95"/>
      <c r="I13" s="131"/>
      <c r="M13" s="115"/>
      <c r="N13" s="116"/>
      <c r="O13" s="116"/>
      <c r="P13" s="116"/>
      <c r="Q13" s="116"/>
      <c r="R13" s="116"/>
      <c r="S13" s="116"/>
      <c r="T13" s="117"/>
    </row>
    <row r="14" spans="1:20" ht="14.5" customHeight="1" x14ac:dyDescent="0.35">
      <c r="A14" s="67"/>
      <c r="B14" s="69"/>
      <c r="C14" s="68"/>
      <c r="G14" s="9"/>
      <c r="H14" s="107" t="s">
        <v>48</v>
      </c>
      <c r="I14" s="108"/>
      <c r="M14" s="115"/>
      <c r="N14" s="116"/>
      <c r="O14" s="116"/>
      <c r="P14" s="116"/>
      <c r="Q14" s="116"/>
      <c r="R14" s="116"/>
      <c r="S14" s="116"/>
      <c r="T14" s="117"/>
    </row>
    <row r="15" spans="1:20" ht="29" x14ac:dyDescent="0.35">
      <c r="A15" s="67" t="s">
        <v>6</v>
      </c>
      <c r="B15" s="69" t="s">
        <v>23</v>
      </c>
      <c r="C15" s="68"/>
      <c r="G15" s="24" t="s">
        <v>58</v>
      </c>
      <c r="H15" s="48">
        <f>25%*H5</f>
        <v>125000000</v>
      </c>
      <c r="I15" s="25">
        <f>10%*I5</f>
        <v>50000000</v>
      </c>
      <c r="M15" s="115"/>
      <c r="N15" s="116"/>
      <c r="O15" s="116"/>
      <c r="P15" s="116"/>
      <c r="Q15" s="116"/>
      <c r="R15" s="116"/>
      <c r="S15" s="116"/>
      <c r="T15" s="117"/>
    </row>
    <row r="16" spans="1:20" x14ac:dyDescent="0.35">
      <c r="A16" s="67"/>
      <c r="B16" s="69"/>
      <c r="C16" s="68"/>
      <c r="G16" s="24"/>
      <c r="H16" s="121" t="s">
        <v>63</v>
      </c>
      <c r="I16" s="122"/>
      <c r="M16" s="115"/>
      <c r="N16" s="116"/>
      <c r="O16" s="116"/>
      <c r="P16" s="116"/>
      <c r="Q16" s="116"/>
      <c r="R16" s="116"/>
      <c r="S16" s="116"/>
      <c r="T16" s="117"/>
    </row>
    <row r="17" spans="1:20" ht="26" customHeight="1" x14ac:dyDescent="0.35">
      <c r="A17" s="67" t="s">
        <v>7</v>
      </c>
      <c r="B17" s="3" t="s">
        <v>33</v>
      </c>
      <c r="C17" s="37" t="s">
        <v>98</v>
      </c>
      <c r="G17" s="123" t="s">
        <v>65</v>
      </c>
      <c r="H17" s="124" t="s">
        <v>136</v>
      </c>
      <c r="I17" s="92" t="s">
        <v>30</v>
      </c>
      <c r="M17" s="115"/>
      <c r="N17" s="116"/>
      <c r="O17" s="116"/>
      <c r="P17" s="116"/>
      <c r="Q17" s="116"/>
      <c r="R17" s="116"/>
      <c r="S17" s="116"/>
      <c r="T17" s="117"/>
    </row>
    <row r="18" spans="1:20" x14ac:dyDescent="0.35">
      <c r="A18" s="67"/>
      <c r="B18" s="3" t="s">
        <v>34</v>
      </c>
      <c r="C18" s="37" t="s">
        <v>83</v>
      </c>
      <c r="G18" s="123"/>
      <c r="H18" s="124"/>
      <c r="I18" s="92"/>
      <c r="M18" s="115"/>
      <c r="N18" s="116"/>
      <c r="O18" s="116"/>
      <c r="P18" s="116"/>
      <c r="Q18" s="116"/>
      <c r="R18" s="116"/>
      <c r="S18" s="116"/>
      <c r="T18" s="117"/>
    </row>
    <row r="19" spans="1:20" x14ac:dyDescent="0.35">
      <c r="A19" s="96" t="s">
        <v>8</v>
      </c>
      <c r="B19" s="65" t="s">
        <v>20</v>
      </c>
      <c r="C19" s="66" t="s">
        <v>140</v>
      </c>
      <c r="G19" s="34" t="s">
        <v>60</v>
      </c>
      <c r="H19" s="121" t="s">
        <v>47</v>
      </c>
      <c r="I19" s="122"/>
      <c r="M19" s="115"/>
      <c r="N19" s="116"/>
      <c r="O19" s="116"/>
      <c r="P19" s="116"/>
      <c r="Q19" s="116"/>
      <c r="R19" s="116"/>
      <c r="S19" s="116"/>
      <c r="T19" s="117"/>
    </row>
    <row r="20" spans="1:20" ht="21.5" customHeight="1" x14ac:dyDescent="0.35">
      <c r="A20" s="96"/>
      <c r="B20" s="65"/>
      <c r="C20" s="66"/>
      <c r="G20" s="123" t="s">
        <v>111</v>
      </c>
      <c r="H20" s="102">
        <v>250000000</v>
      </c>
      <c r="I20" s="92">
        <f>I5-I12-I15</f>
        <v>200000000</v>
      </c>
      <c r="M20" s="115"/>
      <c r="N20" s="116"/>
      <c r="O20" s="116"/>
      <c r="P20" s="116"/>
      <c r="Q20" s="116"/>
      <c r="R20" s="116"/>
      <c r="S20" s="116"/>
      <c r="T20" s="117"/>
    </row>
    <row r="21" spans="1:20" x14ac:dyDescent="0.35">
      <c r="A21" s="14" t="s">
        <v>9</v>
      </c>
      <c r="B21" s="2" t="s">
        <v>21</v>
      </c>
      <c r="C21" s="4" t="s">
        <v>21</v>
      </c>
      <c r="G21" s="123"/>
      <c r="H21" s="102"/>
      <c r="I21" s="92"/>
      <c r="M21" s="115"/>
      <c r="N21" s="116"/>
      <c r="O21" s="116"/>
      <c r="P21" s="116"/>
      <c r="Q21" s="116"/>
      <c r="R21" s="116"/>
      <c r="S21" s="116"/>
      <c r="T21" s="117"/>
    </row>
    <row r="22" spans="1:20" x14ac:dyDescent="0.35">
      <c r="A22" s="14" t="s">
        <v>10</v>
      </c>
      <c r="B22" s="2" t="s">
        <v>24</v>
      </c>
      <c r="C22" s="4"/>
      <c r="G22" s="24"/>
      <c r="H22" s="107" t="s">
        <v>49</v>
      </c>
      <c r="I22" s="108"/>
      <c r="M22" s="115"/>
      <c r="N22" s="116"/>
      <c r="O22" s="116"/>
      <c r="P22" s="116"/>
      <c r="Q22" s="116"/>
      <c r="R22" s="116"/>
      <c r="S22" s="116"/>
      <c r="T22" s="117"/>
    </row>
    <row r="23" spans="1:20" x14ac:dyDescent="0.35">
      <c r="A23" s="41" t="s">
        <v>11</v>
      </c>
      <c r="B23" s="2" t="s">
        <v>25</v>
      </c>
      <c r="C23" s="37" t="s">
        <v>25</v>
      </c>
      <c r="G23" s="90" t="s">
        <v>66</v>
      </c>
      <c r="H23" s="102">
        <v>393520000</v>
      </c>
      <c r="I23" s="92" t="s">
        <v>30</v>
      </c>
      <c r="M23" s="115"/>
      <c r="N23" s="116"/>
      <c r="O23" s="116"/>
      <c r="P23" s="116"/>
      <c r="Q23" s="116"/>
      <c r="R23" s="116"/>
      <c r="S23" s="116"/>
      <c r="T23" s="117"/>
    </row>
    <row r="24" spans="1:20" ht="14.5" customHeight="1" x14ac:dyDescent="0.35">
      <c r="A24" s="14" t="s">
        <v>29</v>
      </c>
      <c r="B24" s="2" t="s">
        <v>30</v>
      </c>
      <c r="C24" s="4" t="s">
        <v>30</v>
      </c>
      <c r="G24" s="90"/>
      <c r="H24" s="102"/>
      <c r="I24" s="92"/>
      <c r="M24" s="115"/>
      <c r="N24" s="116"/>
      <c r="O24" s="116"/>
      <c r="P24" s="116"/>
      <c r="Q24" s="116"/>
      <c r="R24" s="116"/>
      <c r="S24" s="116"/>
      <c r="T24" s="117"/>
    </row>
    <row r="25" spans="1:20" ht="23" customHeight="1" x14ac:dyDescent="0.35">
      <c r="A25" s="67" t="s">
        <v>103</v>
      </c>
      <c r="B25" s="69" t="s">
        <v>30</v>
      </c>
      <c r="C25" s="105" t="s">
        <v>30</v>
      </c>
      <c r="G25" s="29"/>
      <c r="H25" s="107" t="s">
        <v>40</v>
      </c>
      <c r="I25" s="108"/>
      <c r="M25" s="115"/>
      <c r="N25" s="116"/>
      <c r="O25" s="116"/>
      <c r="P25" s="116"/>
      <c r="Q25" s="116"/>
      <c r="R25" s="116"/>
      <c r="S25" s="116"/>
      <c r="T25" s="117"/>
    </row>
    <row r="26" spans="1:20" ht="24.5" customHeight="1" thickBot="1" x14ac:dyDescent="0.4">
      <c r="A26" s="103"/>
      <c r="B26" s="104"/>
      <c r="C26" s="106"/>
      <c r="G26" s="101" t="s">
        <v>70</v>
      </c>
      <c r="H26" s="95" t="s">
        <v>30</v>
      </c>
      <c r="I26" s="92">
        <f>150%*I9</f>
        <v>597375000</v>
      </c>
      <c r="M26" s="115"/>
      <c r="N26" s="116"/>
      <c r="O26" s="116"/>
      <c r="P26" s="116"/>
      <c r="Q26" s="116"/>
      <c r="R26" s="116"/>
      <c r="S26" s="116"/>
      <c r="T26" s="117"/>
    </row>
    <row r="27" spans="1:20" ht="14.5" customHeight="1" thickBot="1" x14ac:dyDescent="0.4">
      <c r="A27" s="46"/>
      <c r="B27" s="1"/>
      <c r="C27" s="1"/>
      <c r="G27" s="109"/>
      <c r="H27" s="110"/>
      <c r="I27" s="111"/>
      <c r="M27" s="115"/>
      <c r="N27" s="116"/>
      <c r="O27" s="116"/>
      <c r="P27" s="116"/>
      <c r="Q27" s="116"/>
      <c r="R27" s="116"/>
      <c r="S27" s="116"/>
      <c r="T27" s="117"/>
    </row>
    <row r="28" spans="1:20" ht="15" thickBot="1" x14ac:dyDescent="0.4">
      <c r="A28" s="98" t="s">
        <v>27</v>
      </c>
      <c r="B28" s="99"/>
      <c r="C28" s="100"/>
      <c r="G28" s="51"/>
      <c r="H28" s="52"/>
      <c r="I28" s="53"/>
      <c r="M28" s="115"/>
      <c r="N28" s="116"/>
      <c r="O28" s="116"/>
      <c r="P28" s="116"/>
      <c r="Q28" s="116"/>
      <c r="R28" s="116"/>
      <c r="S28" s="116"/>
      <c r="T28" s="117"/>
    </row>
    <row r="29" spans="1:20" x14ac:dyDescent="0.35">
      <c r="A29" s="17"/>
      <c r="B29" s="7" t="s">
        <v>28</v>
      </c>
      <c r="C29" s="64" t="s">
        <v>138</v>
      </c>
      <c r="G29" s="51"/>
      <c r="H29" s="52"/>
      <c r="I29" s="53"/>
      <c r="M29" s="115"/>
      <c r="N29" s="116"/>
      <c r="O29" s="116"/>
      <c r="P29" s="116"/>
      <c r="Q29" s="116"/>
      <c r="R29" s="116"/>
      <c r="S29" s="116"/>
      <c r="T29" s="117"/>
    </row>
    <row r="30" spans="1:20" ht="14.5" customHeight="1" x14ac:dyDescent="0.35">
      <c r="A30" s="67" t="s">
        <v>46</v>
      </c>
      <c r="B30" s="97" t="s">
        <v>145</v>
      </c>
      <c r="C30" s="66" t="s">
        <v>146</v>
      </c>
      <c r="G30" s="51"/>
      <c r="H30" s="52"/>
      <c r="I30" s="53"/>
      <c r="M30" s="115"/>
      <c r="N30" s="116"/>
      <c r="O30" s="116"/>
      <c r="P30" s="116"/>
      <c r="Q30" s="116"/>
      <c r="R30" s="116"/>
      <c r="S30" s="116"/>
      <c r="T30" s="117"/>
    </row>
    <row r="31" spans="1:20" ht="14.5" customHeight="1" x14ac:dyDescent="0.35">
      <c r="A31" s="67"/>
      <c r="B31" s="97"/>
      <c r="C31" s="66"/>
      <c r="G31" s="101"/>
      <c r="H31" s="91"/>
      <c r="I31" s="81"/>
      <c r="M31" s="115"/>
      <c r="N31" s="116"/>
      <c r="O31" s="116"/>
      <c r="P31" s="116"/>
      <c r="Q31" s="116"/>
      <c r="R31" s="116"/>
      <c r="S31" s="116"/>
      <c r="T31" s="117"/>
    </row>
    <row r="32" spans="1:20" x14ac:dyDescent="0.35">
      <c r="A32" s="67"/>
      <c r="B32" s="97"/>
      <c r="C32" s="66"/>
      <c r="G32" s="101"/>
      <c r="H32" s="91"/>
      <c r="I32" s="81"/>
      <c r="M32" s="115"/>
      <c r="N32" s="116"/>
      <c r="O32" s="116"/>
      <c r="P32" s="116"/>
      <c r="Q32" s="116"/>
      <c r="R32" s="116"/>
      <c r="S32" s="116"/>
      <c r="T32" s="117"/>
    </row>
    <row r="33" spans="1:20" ht="14.5" customHeight="1" x14ac:dyDescent="0.35">
      <c r="A33" s="67"/>
      <c r="B33" s="97"/>
      <c r="C33" s="66"/>
      <c r="G33" s="29"/>
      <c r="H33" s="93"/>
      <c r="I33" s="94"/>
      <c r="M33" s="115"/>
      <c r="N33" s="116"/>
      <c r="O33" s="116"/>
      <c r="P33" s="116"/>
      <c r="Q33" s="116"/>
      <c r="R33" s="116"/>
      <c r="S33" s="116"/>
      <c r="T33" s="117"/>
    </row>
    <row r="34" spans="1:20" ht="18.5" customHeight="1" thickBot="1" x14ac:dyDescent="0.4">
      <c r="A34" s="67"/>
      <c r="B34" s="97"/>
      <c r="C34" s="66"/>
      <c r="G34" s="90"/>
      <c r="H34" s="95"/>
      <c r="I34" s="92"/>
      <c r="M34" s="118"/>
      <c r="N34" s="119"/>
      <c r="O34" s="119"/>
      <c r="P34" s="119"/>
      <c r="Q34" s="119"/>
      <c r="R34" s="119"/>
      <c r="S34" s="119"/>
      <c r="T34" s="120"/>
    </row>
    <row r="35" spans="1:20" ht="22.5" customHeight="1" x14ac:dyDescent="0.35">
      <c r="A35" s="67"/>
      <c r="B35" s="97"/>
      <c r="C35" s="66"/>
      <c r="G35" s="90"/>
      <c r="H35" s="91"/>
      <c r="I35" s="81"/>
    </row>
    <row r="36" spans="1:20" x14ac:dyDescent="0.35">
      <c r="A36" s="96" t="s">
        <v>47</v>
      </c>
      <c r="B36" s="97" t="s">
        <v>132</v>
      </c>
      <c r="C36" s="66" t="s">
        <v>147</v>
      </c>
      <c r="G36" s="90"/>
      <c r="H36" s="91"/>
      <c r="I36" s="81"/>
    </row>
    <row r="37" spans="1:20" ht="20.5" customHeight="1" x14ac:dyDescent="0.35">
      <c r="A37" s="96"/>
      <c r="B37" s="97"/>
      <c r="C37" s="66"/>
      <c r="G37" s="35"/>
      <c r="H37" s="88"/>
      <c r="I37" s="89"/>
    </row>
    <row r="38" spans="1:20" ht="45.5" customHeight="1" x14ac:dyDescent="0.35">
      <c r="A38" s="96"/>
      <c r="B38" s="97"/>
      <c r="C38" s="66"/>
      <c r="G38" s="90"/>
      <c r="H38" s="80"/>
      <c r="I38" s="81"/>
    </row>
    <row r="39" spans="1:20" ht="29" x14ac:dyDescent="0.35">
      <c r="A39" s="15" t="s">
        <v>48</v>
      </c>
      <c r="B39" s="59" t="s">
        <v>116</v>
      </c>
      <c r="C39" s="37" t="s">
        <v>142</v>
      </c>
      <c r="G39" s="90"/>
      <c r="H39" s="80"/>
      <c r="I39" s="81"/>
    </row>
    <row r="40" spans="1:20" ht="14" customHeight="1" x14ac:dyDescent="0.35">
      <c r="A40" s="82" t="s">
        <v>39</v>
      </c>
      <c r="B40" s="84" t="s">
        <v>41</v>
      </c>
      <c r="C40" s="86" t="s">
        <v>141</v>
      </c>
      <c r="G40" s="9"/>
      <c r="H40" s="88"/>
      <c r="I40" s="89"/>
    </row>
    <row r="41" spans="1:20" ht="29.5" customHeight="1" x14ac:dyDescent="0.35">
      <c r="A41" s="83"/>
      <c r="B41" s="85"/>
      <c r="C41" s="87"/>
      <c r="G41" s="90"/>
      <c r="H41" s="91"/>
      <c r="I41" s="92"/>
    </row>
    <row r="42" spans="1:20" ht="26" customHeight="1" x14ac:dyDescent="0.35">
      <c r="A42" s="83"/>
      <c r="B42" s="85"/>
      <c r="C42" s="87"/>
      <c r="G42" s="90"/>
      <c r="H42" s="91"/>
      <c r="I42" s="81"/>
    </row>
    <row r="43" spans="1:20" ht="19.5" customHeight="1" thickBot="1" x14ac:dyDescent="0.4">
      <c r="A43" s="83"/>
      <c r="B43" s="85"/>
      <c r="C43" s="87"/>
      <c r="G43" s="26"/>
      <c r="H43" s="27"/>
      <c r="I43" s="28"/>
    </row>
    <row r="44" spans="1:20" ht="58" x14ac:dyDescent="0.35">
      <c r="A44" s="18" t="s">
        <v>42</v>
      </c>
      <c r="B44" s="50" t="s">
        <v>88</v>
      </c>
      <c r="C44" s="37" t="s">
        <v>30</v>
      </c>
    </row>
    <row r="45" spans="1:20" x14ac:dyDescent="0.35">
      <c r="A45" s="67" t="s">
        <v>49</v>
      </c>
      <c r="B45" s="65" t="s">
        <v>44</v>
      </c>
      <c r="C45" s="70" t="s">
        <v>30</v>
      </c>
    </row>
    <row r="46" spans="1:20" ht="19.5" customHeight="1" x14ac:dyDescent="0.35">
      <c r="A46" s="67"/>
      <c r="B46" s="65"/>
      <c r="C46" s="70"/>
    </row>
    <row r="47" spans="1:20" ht="59.5" customHeight="1" x14ac:dyDescent="0.35">
      <c r="A47" s="71" t="s">
        <v>40</v>
      </c>
      <c r="B47" s="74" t="s">
        <v>30</v>
      </c>
      <c r="C47" s="77" t="s">
        <v>143</v>
      </c>
    </row>
    <row r="48" spans="1:20" ht="43.5" customHeight="1" x14ac:dyDescent="0.35">
      <c r="A48" s="72"/>
      <c r="B48" s="75"/>
      <c r="C48" s="78"/>
    </row>
    <row r="49" spans="1:3" ht="23" customHeight="1" x14ac:dyDescent="0.35">
      <c r="A49" s="72"/>
      <c r="B49" s="75"/>
      <c r="C49" s="78"/>
    </row>
    <row r="50" spans="1:3" ht="29.5" customHeight="1" x14ac:dyDescent="0.35">
      <c r="A50" s="72"/>
      <c r="B50" s="75"/>
      <c r="C50" s="78"/>
    </row>
    <row r="51" spans="1:3" ht="37.5" customHeight="1" thickBot="1" x14ac:dyDescent="0.4">
      <c r="A51" s="73"/>
      <c r="B51" s="76"/>
      <c r="C51" s="79"/>
    </row>
  </sheetData>
  <mergeCells count="78">
    <mergeCell ref="A1:C1"/>
    <mergeCell ref="G1:I1"/>
    <mergeCell ref="M1:T1"/>
    <mergeCell ref="M2:T10"/>
    <mergeCell ref="G5:G6"/>
    <mergeCell ref="H5:H6"/>
    <mergeCell ref="I5:I6"/>
    <mergeCell ref="G10:I10"/>
    <mergeCell ref="H11:I11"/>
    <mergeCell ref="M11:T11"/>
    <mergeCell ref="G12:G13"/>
    <mergeCell ref="H12:H13"/>
    <mergeCell ref="I12:I13"/>
    <mergeCell ref="A19:A20"/>
    <mergeCell ref="B19:B20"/>
    <mergeCell ref="C19:C20"/>
    <mergeCell ref="H16:I16"/>
    <mergeCell ref="A17:A18"/>
    <mergeCell ref="G17:G18"/>
    <mergeCell ref="H17:H18"/>
    <mergeCell ref="I17:I18"/>
    <mergeCell ref="A15:A16"/>
    <mergeCell ref="B15:B16"/>
    <mergeCell ref="C15:C16"/>
    <mergeCell ref="H22:I22"/>
    <mergeCell ref="M12:T34"/>
    <mergeCell ref="H19:I19"/>
    <mergeCell ref="G20:G21"/>
    <mergeCell ref="H20:H21"/>
    <mergeCell ref="I20:I21"/>
    <mergeCell ref="H14:I14"/>
    <mergeCell ref="G23:G24"/>
    <mergeCell ref="H23:H24"/>
    <mergeCell ref="I23:I24"/>
    <mergeCell ref="A25:A26"/>
    <mergeCell ref="B25:B26"/>
    <mergeCell ref="C25:C26"/>
    <mergeCell ref="H25:I25"/>
    <mergeCell ref="G26:G27"/>
    <mergeCell ref="H26:H27"/>
    <mergeCell ref="I26:I27"/>
    <mergeCell ref="A28:C28"/>
    <mergeCell ref="A30:A35"/>
    <mergeCell ref="B30:B35"/>
    <mergeCell ref="C30:C35"/>
    <mergeCell ref="G31:G32"/>
    <mergeCell ref="I31:I32"/>
    <mergeCell ref="H33:I33"/>
    <mergeCell ref="G34:G36"/>
    <mergeCell ref="H34:H36"/>
    <mergeCell ref="I34:I36"/>
    <mergeCell ref="H31:H32"/>
    <mergeCell ref="H38:H39"/>
    <mergeCell ref="I38:I39"/>
    <mergeCell ref="A40:A43"/>
    <mergeCell ref="B40:B43"/>
    <mergeCell ref="C40:C43"/>
    <mergeCell ref="H40:I40"/>
    <mergeCell ref="G41:G42"/>
    <mergeCell ref="H41:H42"/>
    <mergeCell ref="I41:I42"/>
    <mergeCell ref="A36:A38"/>
    <mergeCell ref="B36:B38"/>
    <mergeCell ref="C36:C38"/>
    <mergeCell ref="H37:I37"/>
    <mergeCell ref="G38:G39"/>
    <mergeCell ref="A45:A46"/>
    <mergeCell ref="B45:B46"/>
    <mergeCell ref="C45:C46"/>
    <mergeCell ref="A47:A51"/>
    <mergeCell ref="B47:B51"/>
    <mergeCell ref="C47:C51"/>
    <mergeCell ref="B6:B7"/>
    <mergeCell ref="C6:C7"/>
    <mergeCell ref="A6:A7"/>
    <mergeCell ref="C8:C14"/>
    <mergeCell ref="B8:B14"/>
    <mergeCell ref="A8:A14"/>
  </mergeCells>
  <pageMargins left="0.7" right="0.7" top="0.75" bottom="0.75" header="0.3" footer="0.3"/>
  <headerFooter>
    <oddFooter>&amp;C_x000D_&amp;1#&amp;"Aptos"&amp;10&amp;K008000 INTERNAL</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0F31-8939-4E6E-96BD-F1E5DA0C56AC}">
  <dimension ref="A1:F87"/>
  <sheetViews>
    <sheetView topLeftCell="A39" workbookViewId="0">
      <selection activeCell="E43" sqref="E43:E58"/>
    </sheetView>
  </sheetViews>
  <sheetFormatPr defaultRowHeight="14.5" x14ac:dyDescent="0.35"/>
  <cols>
    <col min="4" max="4" width="17.26953125" bestFit="1" customWidth="1"/>
    <col min="5" max="5" width="14.6328125" bestFit="1" customWidth="1"/>
  </cols>
  <sheetData>
    <row r="1" spans="1:3" x14ac:dyDescent="0.35">
      <c r="A1" s="80" t="s">
        <v>74</v>
      </c>
      <c r="B1" s="80"/>
      <c r="C1" s="80"/>
    </row>
    <row r="2" spans="1:3" x14ac:dyDescent="0.35">
      <c r="A2" t="s">
        <v>71</v>
      </c>
      <c r="B2" t="s">
        <v>72</v>
      </c>
      <c r="C2" t="s">
        <v>73</v>
      </c>
    </row>
    <row r="3" spans="1:3" x14ac:dyDescent="0.35">
      <c r="A3">
        <v>0</v>
      </c>
    </row>
    <row r="4" spans="1:3" x14ac:dyDescent="0.35">
      <c r="A4">
        <v>1</v>
      </c>
      <c r="B4">
        <v>13.14</v>
      </c>
    </row>
    <row r="5" spans="1:3" x14ac:dyDescent="0.35">
      <c r="A5">
        <v>2</v>
      </c>
    </row>
    <row r="6" spans="1:3" x14ac:dyDescent="0.35">
      <c r="A6">
        <v>3</v>
      </c>
    </row>
    <row r="7" spans="1:3" x14ac:dyDescent="0.35">
      <c r="A7">
        <v>4</v>
      </c>
    </row>
    <row r="8" spans="1:3" x14ac:dyDescent="0.35">
      <c r="A8">
        <v>5</v>
      </c>
    </row>
    <row r="9" spans="1:3" x14ac:dyDescent="0.35">
      <c r="A9">
        <v>6</v>
      </c>
    </row>
    <row r="10" spans="1:3" x14ac:dyDescent="0.35">
      <c r="A10">
        <v>7</v>
      </c>
    </row>
    <row r="11" spans="1:3" x14ac:dyDescent="0.35">
      <c r="A11">
        <v>8</v>
      </c>
    </row>
    <row r="12" spans="1:3" x14ac:dyDescent="0.35">
      <c r="A12">
        <v>9</v>
      </c>
    </row>
    <row r="13" spans="1:3" x14ac:dyDescent="0.35">
      <c r="A13">
        <v>10</v>
      </c>
    </row>
    <row r="14" spans="1:3" x14ac:dyDescent="0.35">
      <c r="A14">
        <v>11</v>
      </c>
    </row>
    <row r="15" spans="1:3" x14ac:dyDescent="0.35">
      <c r="A15">
        <v>12</v>
      </c>
    </row>
    <row r="16" spans="1:3" x14ac:dyDescent="0.35">
      <c r="A16">
        <v>13</v>
      </c>
    </row>
    <row r="17" spans="1:1" x14ac:dyDescent="0.35">
      <c r="A17">
        <v>14</v>
      </c>
    </row>
    <row r="18" spans="1:1" x14ac:dyDescent="0.35">
      <c r="A18">
        <v>15</v>
      </c>
    </row>
    <row r="19" spans="1:1" x14ac:dyDescent="0.35">
      <c r="A19">
        <v>16</v>
      </c>
    </row>
    <row r="20" spans="1:1" x14ac:dyDescent="0.35">
      <c r="A20">
        <v>17</v>
      </c>
    </row>
    <row r="21" spans="1:1" x14ac:dyDescent="0.35">
      <c r="A21">
        <v>18</v>
      </c>
    </row>
    <row r="22" spans="1:1" x14ac:dyDescent="0.35">
      <c r="A22">
        <v>19</v>
      </c>
    </row>
    <row r="23" spans="1:1" x14ac:dyDescent="0.35">
      <c r="A23">
        <v>20</v>
      </c>
    </row>
    <row r="24" spans="1:1" x14ac:dyDescent="0.35">
      <c r="A24">
        <v>21</v>
      </c>
    </row>
    <row r="25" spans="1:1" x14ac:dyDescent="0.35">
      <c r="A25">
        <v>22</v>
      </c>
    </row>
    <row r="26" spans="1:1" x14ac:dyDescent="0.35">
      <c r="A26">
        <v>23</v>
      </c>
    </row>
    <row r="27" spans="1:1" x14ac:dyDescent="0.35">
      <c r="A27">
        <v>24</v>
      </c>
    </row>
    <row r="28" spans="1:1" x14ac:dyDescent="0.35">
      <c r="A28">
        <v>25</v>
      </c>
    </row>
    <row r="29" spans="1:1" x14ac:dyDescent="0.35">
      <c r="A29">
        <v>26</v>
      </c>
    </row>
    <row r="30" spans="1:1" x14ac:dyDescent="0.35">
      <c r="A30">
        <v>27</v>
      </c>
    </row>
    <row r="31" spans="1:1" x14ac:dyDescent="0.35">
      <c r="A31">
        <v>28</v>
      </c>
    </row>
    <row r="32" spans="1:1" x14ac:dyDescent="0.35">
      <c r="A32">
        <v>29</v>
      </c>
    </row>
    <row r="33" spans="1:6" x14ac:dyDescent="0.35">
      <c r="A33">
        <v>30</v>
      </c>
    </row>
    <row r="34" spans="1:6" x14ac:dyDescent="0.35">
      <c r="A34">
        <v>31</v>
      </c>
      <c r="B34">
        <v>15.69</v>
      </c>
    </row>
    <row r="35" spans="1:6" x14ac:dyDescent="0.35">
      <c r="A35">
        <v>32</v>
      </c>
      <c r="B35">
        <v>16.54</v>
      </c>
    </row>
    <row r="36" spans="1:6" x14ac:dyDescent="0.35">
      <c r="A36">
        <v>33</v>
      </c>
      <c r="B36">
        <v>17.38</v>
      </c>
    </row>
    <row r="37" spans="1:6" x14ac:dyDescent="0.35">
      <c r="A37">
        <v>34</v>
      </c>
      <c r="B37">
        <v>18.28</v>
      </c>
    </row>
    <row r="38" spans="1:6" x14ac:dyDescent="0.35">
      <c r="A38">
        <v>35</v>
      </c>
      <c r="B38">
        <v>19.22</v>
      </c>
      <c r="D38" s="38">
        <f>B38*1000000</f>
        <v>19220000</v>
      </c>
      <c r="E38" s="38">
        <f>B38*500000</f>
        <v>9610000</v>
      </c>
      <c r="F38">
        <f>B38*500000</f>
        <v>9610000</v>
      </c>
    </row>
    <row r="39" spans="1:6" x14ac:dyDescent="0.35">
      <c r="A39">
        <v>36</v>
      </c>
      <c r="B39">
        <v>20.25</v>
      </c>
      <c r="E39" s="38">
        <f t="shared" ref="E39:E63" si="0">B39*500000</f>
        <v>10125000</v>
      </c>
    </row>
    <row r="40" spans="1:6" x14ac:dyDescent="0.35">
      <c r="A40">
        <v>37</v>
      </c>
      <c r="B40">
        <v>21.38</v>
      </c>
      <c r="E40" s="38">
        <f t="shared" si="0"/>
        <v>10690000</v>
      </c>
    </row>
    <row r="41" spans="1:6" x14ac:dyDescent="0.35">
      <c r="A41">
        <v>38</v>
      </c>
      <c r="B41">
        <v>22.61</v>
      </c>
      <c r="E41" s="38">
        <f t="shared" si="0"/>
        <v>11305000</v>
      </c>
    </row>
    <row r="42" spans="1:6" x14ac:dyDescent="0.35">
      <c r="A42">
        <v>39</v>
      </c>
      <c r="B42">
        <v>23.96</v>
      </c>
      <c r="E42" s="38">
        <f t="shared" si="0"/>
        <v>11980000</v>
      </c>
    </row>
    <row r="43" spans="1:6" x14ac:dyDescent="0.35">
      <c r="A43">
        <v>40</v>
      </c>
      <c r="B43">
        <v>25.37</v>
      </c>
      <c r="D43" s="54">
        <f t="shared" ref="D43:D63" si="1">B43*1000000</f>
        <v>25370000</v>
      </c>
      <c r="E43" s="38">
        <f t="shared" si="0"/>
        <v>12685000</v>
      </c>
    </row>
    <row r="44" spans="1:6" x14ac:dyDescent="0.35">
      <c r="A44">
        <v>41</v>
      </c>
      <c r="B44">
        <v>26.89</v>
      </c>
      <c r="D44" s="54">
        <f t="shared" si="1"/>
        <v>26890000</v>
      </c>
      <c r="E44" s="38">
        <f t="shared" si="0"/>
        <v>13445000</v>
      </c>
    </row>
    <row r="45" spans="1:6" x14ac:dyDescent="0.35">
      <c r="A45">
        <v>42</v>
      </c>
      <c r="B45">
        <v>28.46</v>
      </c>
      <c r="D45" s="54">
        <f t="shared" si="1"/>
        <v>28460000</v>
      </c>
      <c r="E45" s="38">
        <f t="shared" si="0"/>
        <v>14230000</v>
      </c>
    </row>
    <row r="46" spans="1:6" x14ac:dyDescent="0.35">
      <c r="A46">
        <v>43</v>
      </c>
      <c r="B46">
        <v>30.09</v>
      </c>
      <c r="D46" s="54">
        <f t="shared" si="1"/>
        <v>30090000</v>
      </c>
      <c r="E46" s="38">
        <f t="shared" si="0"/>
        <v>15045000</v>
      </c>
    </row>
    <row r="47" spans="1:6" x14ac:dyDescent="0.35">
      <c r="A47">
        <v>44</v>
      </c>
      <c r="B47">
        <v>31.84</v>
      </c>
      <c r="D47" s="54">
        <f t="shared" si="1"/>
        <v>31840000</v>
      </c>
      <c r="E47" s="38">
        <f t="shared" si="0"/>
        <v>15920000</v>
      </c>
    </row>
    <row r="48" spans="1:6" x14ac:dyDescent="0.35">
      <c r="A48">
        <v>45</v>
      </c>
      <c r="B48">
        <v>33.81</v>
      </c>
      <c r="D48" s="54">
        <f t="shared" si="1"/>
        <v>33810000</v>
      </c>
      <c r="E48" s="38">
        <f t="shared" si="0"/>
        <v>16905000</v>
      </c>
    </row>
    <row r="49" spans="1:5" x14ac:dyDescent="0.35">
      <c r="A49">
        <v>46</v>
      </c>
      <c r="B49">
        <v>36.11</v>
      </c>
      <c r="D49" s="54">
        <f t="shared" si="1"/>
        <v>36110000</v>
      </c>
      <c r="E49" s="38">
        <f t="shared" si="0"/>
        <v>18055000</v>
      </c>
    </row>
    <row r="50" spans="1:5" x14ac:dyDescent="0.35">
      <c r="A50">
        <v>47</v>
      </c>
      <c r="B50">
        <v>41.02</v>
      </c>
      <c r="D50" s="54">
        <f t="shared" si="1"/>
        <v>41020000</v>
      </c>
      <c r="E50" s="38">
        <f t="shared" si="0"/>
        <v>20510000</v>
      </c>
    </row>
    <row r="51" spans="1:5" x14ac:dyDescent="0.35">
      <c r="A51">
        <v>48</v>
      </c>
      <c r="B51">
        <v>45.91</v>
      </c>
      <c r="D51" s="54">
        <f t="shared" si="1"/>
        <v>45910000</v>
      </c>
      <c r="E51" s="38">
        <f t="shared" si="0"/>
        <v>22955000</v>
      </c>
    </row>
    <row r="52" spans="1:5" x14ac:dyDescent="0.35">
      <c r="A52">
        <v>49</v>
      </c>
      <c r="B52">
        <v>50.82</v>
      </c>
      <c r="D52" s="54">
        <f t="shared" si="1"/>
        <v>50820000</v>
      </c>
      <c r="E52" s="38">
        <f t="shared" si="0"/>
        <v>25410000</v>
      </c>
    </row>
    <row r="53" spans="1:5" x14ac:dyDescent="0.35">
      <c r="A53">
        <v>50</v>
      </c>
      <c r="B53">
        <v>55.72</v>
      </c>
      <c r="D53" s="54">
        <f t="shared" si="1"/>
        <v>55720000</v>
      </c>
      <c r="E53" s="38">
        <f t="shared" si="0"/>
        <v>27860000</v>
      </c>
    </row>
    <row r="54" spans="1:5" x14ac:dyDescent="0.35">
      <c r="A54">
        <v>51</v>
      </c>
      <c r="B54">
        <v>60.63</v>
      </c>
      <c r="D54" s="54">
        <f t="shared" si="1"/>
        <v>60630000</v>
      </c>
      <c r="E54" s="38">
        <f t="shared" si="0"/>
        <v>30315000</v>
      </c>
    </row>
    <row r="55" spans="1:5" x14ac:dyDescent="0.35">
      <c r="A55">
        <v>52</v>
      </c>
      <c r="B55">
        <v>65.53</v>
      </c>
      <c r="D55" s="54">
        <f t="shared" si="1"/>
        <v>65530000</v>
      </c>
      <c r="E55" s="38">
        <f t="shared" si="0"/>
        <v>32765000</v>
      </c>
    </row>
    <row r="56" spans="1:5" x14ac:dyDescent="0.35">
      <c r="A56">
        <v>53</v>
      </c>
      <c r="B56">
        <v>70.44</v>
      </c>
      <c r="D56" s="54">
        <f t="shared" si="1"/>
        <v>70440000</v>
      </c>
      <c r="E56" s="38">
        <f t="shared" si="0"/>
        <v>35220000</v>
      </c>
    </row>
    <row r="57" spans="1:5" x14ac:dyDescent="0.35">
      <c r="A57">
        <v>54</v>
      </c>
      <c r="B57">
        <v>75.34</v>
      </c>
      <c r="D57" s="54">
        <f t="shared" si="1"/>
        <v>75340000</v>
      </c>
      <c r="E57" s="38">
        <f t="shared" si="0"/>
        <v>37670000</v>
      </c>
    </row>
    <row r="58" spans="1:5" x14ac:dyDescent="0.35">
      <c r="A58">
        <v>55</v>
      </c>
      <c r="B58">
        <v>80.239999999999995</v>
      </c>
      <c r="D58" s="54">
        <f t="shared" si="1"/>
        <v>80240000</v>
      </c>
      <c r="E58" s="38">
        <f t="shared" si="0"/>
        <v>40120000</v>
      </c>
    </row>
    <row r="59" spans="1:5" x14ac:dyDescent="0.35">
      <c r="A59">
        <v>56</v>
      </c>
      <c r="B59">
        <v>84.38</v>
      </c>
      <c r="D59" s="54">
        <f t="shared" si="1"/>
        <v>84380000</v>
      </c>
      <c r="E59" s="38">
        <f t="shared" si="0"/>
        <v>42190000</v>
      </c>
    </row>
    <row r="60" spans="1:5" x14ac:dyDescent="0.35">
      <c r="A60">
        <v>57</v>
      </c>
      <c r="B60">
        <v>90</v>
      </c>
      <c r="D60" s="54">
        <f t="shared" si="1"/>
        <v>90000000</v>
      </c>
      <c r="E60" s="38">
        <f t="shared" si="0"/>
        <v>45000000</v>
      </c>
    </row>
    <row r="61" spans="1:5" x14ac:dyDescent="0.35">
      <c r="A61">
        <v>58</v>
      </c>
      <c r="B61">
        <v>97.88</v>
      </c>
      <c r="D61" s="54">
        <f t="shared" si="1"/>
        <v>97880000</v>
      </c>
      <c r="E61" s="38">
        <f t="shared" si="0"/>
        <v>48940000</v>
      </c>
    </row>
    <row r="62" spans="1:5" x14ac:dyDescent="0.35">
      <c r="A62">
        <v>59</v>
      </c>
      <c r="B62">
        <v>106.88</v>
      </c>
      <c r="D62" s="54">
        <f t="shared" si="1"/>
        <v>106880000</v>
      </c>
      <c r="E62" s="38">
        <f t="shared" si="0"/>
        <v>53440000</v>
      </c>
    </row>
    <row r="63" spans="1:5" x14ac:dyDescent="0.35">
      <c r="A63">
        <v>60</v>
      </c>
      <c r="B63">
        <v>118.13</v>
      </c>
      <c r="D63" s="54">
        <f t="shared" si="1"/>
        <v>118130000</v>
      </c>
      <c r="E63" s="38">
        <f t="shared" si="0"/>
        <v>59065000</v>
      </c>
    </row>
    <row r="64" spans="1:5" x14ac:dyDescent="0.35">
      <c r="A64">
        <v>61</v>
      </c>
      <c r="B64">
        <v>121.5</v>
      </c>
      <c r="E64" s="38"/>
    </row>
    <row r="65" spans="1:4" x14ac:dyDescent="0.35">
      <c r="A65">
        <v>62</v>
      </c>
      <c r="D65" s="38">
        <f>SUM(D43:D62)</f>
        <v>1137360000</v>
      </c>
    </row>
    <row r="66" spans="1:4" x14ac:dyDescent="0.35">
      <c r="A66">
        <v>63</v>
      </c>
    </row>
    <row r="67" spans="1:4" x14ac:dyDescent="0.35">
      <c r="A67">
        <v>64</v>
      </c>
    </row>
    <row r="68" spans="1:4" x14ac:dyDescent="0.35">
      <c r="A68">
        <v>65</v>
      </c>
    </row>
    <row r="69" spans="1:4" x14ac:dyDescent="0.35">
      <c r="A69">
        <v>66</v>
      </c>
    </row>
    <row r="70" spans="1:4" x14ac:dyDescent="0.35">
      <c r="A70">
        <v>67</v>
      </c>
    </row>
    <row r="71" spans="1:4" x14ac:dyDescent="0.35">
      <c r="A71">
        <v>68</v>
      </c>
    </row>
    <row r="72" spans="1:4" x14ac:dyDescent="0.35">
      <c r="A72">
        <v>69</v>
      </c>
    </row>
    <row r="73" spans="1:4" x14ac:dyDescent="0.35">
      <c r="A73">
        <v>70</v>
      </c>
    </row>
    <row r="74" spans="1:4" x14ac:dyDescent="0.35">
      <c r="A74">
        <v>71</v>
      </c>
    </row>
    <row r="75" spans="1:4" x14ac:dyDescent="0.35">
      <c r="A75">
        <v>72</v>
      </c>
    </row>
    <row r="76" spans="1:4" x14ac:dyDescent="0.35">
      <c r="A76">
        <v>73</v>
      </c>
    </row>
    <row r="77" spans="1:4" x14ac:dyDescent="0.35">
      <c r="A77">
        <v>74</v>
      </c>
    </row>
    <row r="78" spans="1:4" x14ac:dyDescent="0.35">
      <c r="A78">
        <v>75</v>
      </c>
    </row>
    <row r="79" spans="1:4" x14ac:dyDescent="0.35">
      <c r="A79">
        <v>76</v>
      </c>
    </row>
    <row r="80" spans="1:4" x14ac:dyDescent="0.35">
      <c r="A80">
        <v>77</v>
      </c>
    </row>
    <row r="81" spans="1:1" x14ac:dyDescent="0.35">
      <c r="A81">
        <v>78</v>
      </c>
    </row>
    <row r="82" spans="1:1" x14ac:dyDescent="0.35">
      <c r="A82">
        <v>79</v>
      </c>
    </row>
    <row r="83" spans="1:1" x14ac:dyDescent="0.35">
      <c r="A83">
        <v>80</v>
      </c>
    </row>
    <row r="84" spans="1:1" x14ac:dyDescent="0.35">
      <c r="A84">
        <v>81</v>
      </c>
    </row>
    <row r="85" spans="1:1" x14ac:dyDescent="0.35">
      <c r="A85">
        <v>82</v>
      </c>
    </row>
    <row r="86" spans="1:1" x14ac:dyDescent="0.35">
      <c r="A86">
        <v>83</v>
      </c>
    </row>
    <row r="87" spans="1:1" x14ac:dyDescent="0.35">
      <c r="A87">
        <v>84</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 vs Allianz Critical Plus</vt:lpstr>
      <vt:lpstr>STAR vs Proteksi Prima Kritis</vt:lpstr>
      <vt:lpstr>STAR vs Zurich CI</vt:lpstr>
      <vt:lpstr>STAR vs Zurich CI (2)</vt:lpstr>
      <vt:lpstr>STAR vs ASLI</vt:lpstr>
      <vt:lpstr>Rate STAR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Putri Anindya Sugiarti</dc:creator>
  <cp:lastModifiedBy>Putri Anindya Sugiarti</cp:lastModifiedBy>
  <dcterms:created xsi:type="dcterms:W3CDTF">2026-01-22T01:39:54Z</dcterms:created>
  <dcterms:modified xsi:type="dcterms:W3CDTF">2026-06-03T10:35:29Z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095407-d065-4278-bf6c-9e9ec1ab0c69_Enabled">
    <vt:lpwstr>true</vt:lpwstr>
  </property>
  <property fmtid="{D5CDD505-2E9C-101B-9397-08002B2CF9AE}" pid="3" name="MSIP_Label_15095407-d065-4278-bf6c-9e9ec1ab0c69_SetDate">
    <vt:lpwstr>2026-01-22T02:17:32Z</vt:lpwstr>
  </property>
  <property fmtid="{D5CDD505-2E9C-101B-9397-08002B2CF9AE}" pid="4" name="MSIP_Label_15095407-d065-4278-bf6c-9e9ec1ab0c69_Method">
    <vt:lpwstr>Privileged</vt:lpwstr>
  </property>
  <property fmtid="{D5CDD505-2E9C-101B-9397-08002B2CF9AE}" pid="5" name="MSIP_Label_15095407-d065-4278-bf6c-9e9ec1ab0c69_Name">
    <vt:lpwstr>Internal</vt:lpwstr>
  </property>
  <property fmtid="{D5CDD505-2E9C-101B-9397-08002B2CF9AE}" pid="6" name="MSIP_Label_15095407-d065-4278-bf6c-9e9ec1ab0c69_SiteId">
    <vt:lpwstr>6a3d12e7-c354-4e3f-8275-1ffefa20b9ed</vt:lpwstr>
  </property>
  <property fmtid="{D5CDD505-2E9C-101B-9397-08002B2CF9AE}" pid="7" name="MSIP_Label_15095407-d065-4278-bf6c-9e9ec1ab0c69_ActionId">
    <vt:lpwstr>330a3dc9-8889-4d87-9bf5-28a9f24a1154</vt:lpwstr>
  </property>
  <property fmtid="{D5CDD505-2E9C-101B-9397-08002B2CF9AE}" pid="8" name="MSIP_Label_15095407-d065-4278-bf6c-9e9ec1ab0c69_ContentBits">
    <vt:lpwstr>2</vt:lpwstr>
  </property>
  <property fmtid="{D5CDD505-2E9C-101B-9397-08002B2CF9AE}" pid="9" name="MSIP_Label_15095407-d065-4278-bf6c-9e9ec1ab0c69_Tag">
    <vt:lpwstr>10, 0, 1, 1</vt:lpwstr>
  </property>
</Properties>
</file>