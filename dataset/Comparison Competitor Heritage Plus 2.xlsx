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I:\Product Marketing\Product Management\51. Product Research\Product BCA Life Existing\3. Heritage Platinum Protection (Heritage+)\"/>
    </mc:Choice>
  </mc:AlternateContent>
  <xr:revisionPtr revIDLastSave="0" documentId="13_ncr:1_{6E5CD801-48DC-41C5-B5E0-528C82E7C2B8}" xr6:coauthVersionLast="47" xr6:coauthVersionMax="47" xr10:uidLastSave="{00000000-0000-0000-0000-000000000000}"/>
  <bookViews>
    <workbookView xWindow="-110" yWindow="-110" windowWidth="22620" windowHeight="13500" firstSheet="6" activeTab="8" xr2:uid="{B480782D-255F-4EB9-B1C2-62E92350D83E}"/>
  </bookViews>
  <sheets>
    <sheet name="Perbandingan Fitur" sheetId="1" r:id="rId1"/>
    <sheet name="Heritage+ vs PRUInfinity" sheetId="2" r:id="rId2"/>
    <sheet name="Heritage+ vs Sun 100" sheetId="7" r:id="rId3"/>
    <sheet name="Heritage+ vs X-tra Proteksi War" sheetId="12" r:id="rId4"/>
    <sheet name="Heritage+ vs Manu Prime" sheetId="8" r:id="rId5"/>
    <sheet name="Heritage+ vs MDLA" sheetId="11" r:id="rId6"/>
    <sheet name="Heritage+ vs AIA WPP (Non LB)" sheetId="9" r:id="rId7"/>
    <sheet name="Heritage+ vs AIA WPP (LB)" sheetId="10" r:id="rId8"/>
    <sheet name="Heritage+ vs AlliSya Legacy" sheetId="13" r:id="rId9"/>
    <sheet name="Premi H+ 2 bio" sheetId="5" r:id="rId10"/>
    <sheet name="Premi H+ 500 mio" sheetId="6" r:id="rId11"/>
  </sheets>
  <externalReferences>
    <externalReference r:id="rId12"/>
  </externalReferences>
  <definedNames>
    <definedName name="APE">'[1]MP&amp;Result'!$C$17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13" l="1"/>
  <c r="J9" i="13"/>
  <c r="L23" i="13"/>
  <c r="O35" i="13" s="1"/>
  <c r="M32" i="13"/>
  <c r="G32" i="13"/>
  <c r="H32" i="13"/>
  <c r="H33" i="13" s="1"/>
  <c r="H35" i="13" s="1"/>
  <c r="H30" i="13"/>
  <c r="H28" i="13"/>
  <c r="H23" i="13"/>
  <c r="H24" i="13" s="1"/>
  <c r="H26" i="13" s="1"/>
  <c r="G30" i="13"/>
  <c r="G28" i="13"/>
  <c r="H19" i="13"/>
  <c r="G21" i="13"/>
  <c r="G23" i="13" s="1"/>
  <c r="G19" i="13"/>
  <c r="H21" i="13"/>
  <c r="H15" i="13"/>
  <c r="H17" i="13" s="1"/>
  <c r="H13" i="13"/>
  <c r="G17" i="13"/>
  <c r="G15" i="13"/>
  <c r="G13" i="13"/>
  <c r="H8" i="13"/>
  <c r="H9" i="13" s="1"/>
  <c r="J23" i="13" s="1"/>
  <c r="G24" i="13" l="1"/>
  <c r="G26" i="13" s="1"/>
  <c r="C21" i="12"/>
  <c r="B21" i="12"/>
  <c r="I41" i="11"/>
  <c r="H43" i="11"/>
  <c r="D32" i="11"/>
  <c r="D29" i="11"/>
  <c r="D31" i="11" s="1"/>
  <c r="C24" i="11"/>
  <c r="C25" i="11"/>
  <c r="C26" i="11"/>
  <c r="C27" i="11"/>
  <c r="C28" i="11"/>
  <c r="C29" i="11"/>
  <c r="C30" i="11"/>
  <c r="C31" i="11"/>
  <c r="C32" i="11"/>
  <c r="C33" i="11"/>
  <c r="C34" i="11"/>
  <c r="B25" i="11"/>
  <c r="B26" i="11"/>
  <c r="B27" i="11"/>
  <c r="B29" i="11"/>
  <c r="B30" i="11"/>
  <c r="B13" i="11"/>
  <c r="B22" i="11" s="1"/>
  <c r="D14" i="11"/>
  <c r="D38" i="11"/>
  <c r="D41" i="11" s="1"/>
  <c r="D35" i="11"/>
  <c r="F32" i="11"/>
  <c r="E27" i="11"/>
  <c r="D27" i="11"/>
  <c r="E26" i="11"/>
  <c r="E25" i="11"/>
  <c r="E29" i="11" s="1"/>
  <c r="E24" i="11"/>
  <c r="D24" i="11"/>
  <c r="D25" i="11" s="1"/>
  <c r="E23" i="11"/>
  <c r="D23" i="11"/>
  <c r="C23" i="11"/>
  <c r="E22" i="11"/>
  <c r="D22" i="11"/>
  <c r="C22" i="11"/>
  <c r="E21" i="11"/>
  <c r="D21" i="11"/>
  <c r="C21" i="11"/>
  <c r="E20" i="11"/>
  <c r="D20" i="11"/>
  <c r="C20" i="11"/>
  <c r="E19" i="11"/>
  <c r="D19" i="11"/>
  <c r="C19" i="11"/>
  <c r="J51" i="10"/>
  <c r="D51" i="10"/>
  <c r="D49" i="10"/>
  <c r="D47" i="10"/>
  <c r="E47" i="10"/>
  <c r="E45" i="10"/>
  <c r="E43" i="10"/>
  <c r="D45" i="10"/>
  <c r="D40" i="10"/>
  <c r="D41" i="10"/>
  <c r="D42" i="10"/>
  <c r="D43" i="10"/>
  <c r="D39" i="10"/>
  <c r="E41" i="10"/>
  <c r="E42" i="10"/>
  <c r="E40" i="10"/>
  <c r="F38" i="10"/>
  <c r="B13" i="10"/>
  <c r="B19" i="10" s="1"/>
  <c r="D47" i="9"/>
  <c r="D49" i="9" s="1"/>
  <c r="D51" i="9" s="1"/>
  <c r="D45" i="9"/>
  <c r="K51" i="10"/>
  <c r="E39" i="10"/>
  <c r="E38" i="10"/>
  <c r="D38" i="10"/>
  <c r="E37" i="10"/>
  <c r="D37" i="10"/>
  <c r="E36" i="10"/>
  <c r="D36" i="10"/>
  <c r="E35" i="10"/>
  <c r="D35" i="10"/>
  <c r="E34" i="10"/>
  <c r="D34" i="10"/>
  <c r="E33" i="10"/>
  <c r="D33" i="10"/>
  <c r="E32" i="10"/>
  <c r="D32" i="10"/>
  <c r="E31" i="10"/>
  <c r="I31" i="10" s="1"/>
  <c r="D31" i="10"/>
  <c r="H31" i="10" s="1"/>
  <c r="E30" i="10"/>
  <c r="D30" i="10"/>
  <c r="E29" i="10"/>
  <c r="D29" i="10"/>
  <c r="E28" i="10"/>
  <c r="E27" i="10"/>
  <c r="E26" i="10"/>
  <c r="E25" i="10"/>
  <c r="E24" i="10"/>
  <c r="D24" i="10"/>
  <c r="D25" i="10" s="1"/>
  <c r="D26" i="10" s="1"/>
  <c r="D27" i="10" s="1"/>
  <c r="D28" i="10" s="1"/>
  <c r="E23" i="10"/>
  <c r="D23" i="10"/>
  <c r="C23" i="10"/>
  <c r="E22" i="10"/>
  <c r="D22" i="10"/>
  <c r="C22" i="10"/>
  <c r="E21" i="10"/>
  <c r="D21" i="10"/>
  <c r="C21" i="10"/>
  <c r="E20" i="10"/>
  <c r="D20" i="10"/>
  <c r="C20" i="10"/>
  <c r="E19" i="10"/>
  <c r="D19" i="10"/>
  <c r="C19" i="10"/>
  <c r="D14" i="10"/>
  <c r="G31" i="9"/>
  <c r="E51" i="9"/>
  <c r="I51" i="9" s="1"/>
  <c r="E49" i="9"/>
  <c r="E47" i="9"/>
  <c r="E45" i="9"/>
  <c r="E43" i="9"/>
  <c r="E41" i="9"/>
  <c r="E42" i="9"/>
  <c r="E40" i="9"/>
  <c r="E38" i="9"/>
  <c r="E39" i="9"/>
  <c r="E37" i="9"/>
  <c r="E35" i="9"/>
  <c r="E36" i="9"/>
  <c r="E34" i="9"/>
  <c r="E31" i="9"/>
  <c r="E28" i="9"/>
  <c r="D40" i="9"/>
  <c r="D41" i="9"/>
  <c r="D42" i="9"/>
  <c r="D43" i="9"/>
  <c r="H51" i="9" s="1"/>
  <c r="D39" i="9"/>
  <c r="D35" i="9"/>
  <c r="D36" i="9"/>
  <c r="D37" i="9"/>
  <c r="D38" i="9"/>
  <c r="D34" i="9"/>
  <c r="E33" i="9"/>
  <c r="E32" i="9"/>
  <c r="E30" i="9"/>
  <c r="E29" i="9"/>
  <c r="D30" i="9"/>
  <c r="D31" i="9"/>
  <c r="F31" i="9" s="1"/>
  <c r="D32" i="9"/>
  <c r="D33" i="9"/>
  <c r="D29" i="9"/>
  <c r="E26" i="9"/>
  <c r="E27" i="9"/>
  <c r="E25" i="9"/>
  <c r="E24" i="9"/>
  <c r="E23" i="9"/>
  <c r="E22" i="9"/>
  <c r="B13" i="9"/>
  <c r="B20" i="9" s="1"/>
  <c r="C23" i="9"/>
  <c r="C22" i="9"/>
  <c r="D14" i="9"/>
  <c r="D24" i="9"/>
  <c r="D25" i="9" s="1"/>
  <c r="D26" i="9" s="1"/>
  <c r="D27" i="9" s="1"/>
  <c r="D28" i="9" s="1"/>
  <c r="D23" i="9"/>
  <c r="D22" i="9"/>
  <c r="E21" i="9"/>
  <c r="D21" i="9"/>
  <c r="C21" i="9"/>
  <c r="E20" i="9"/>
  <c r="D20" i="9"/>
  <c r="C20" i="9"/>
  <c r="E19" i="9"/>
  <c r="D19" i="9"/>
  <c r="C19" i="9"/>
  <c r="E35" i="8"/>
  <c r="E32" i="8"/>
  <c r="E29" i="8"/>
  <c r="E28" i="8"/>
  <c r="E27" i="8"/>
  <c r="D43" i="2"/>
  <c r="D39" i="2"/>
  <c r="D35" i="2"/>
  <c r="D30" i="2"/>
  <c r="I30" i="2"/>
  <c r="E32" i="11" l="1"/>
  <c r="E35" i="11" s="1"/>
  <c r="E38" i="11" s="1"/>
  <c r="E41" i="11" s="1"/>
  <c r="E31" i="11"/>
  <c r="D26" i="11"/>
  <c r="B28" i="11"/>
  <c r="D28" i="11"/>
  <c r="B24" i="11"/>
  <c r="E28" i="11"/>
  <c r="B14" i="11"/>
  <c r="B31" i="11"/>
  <c r="B20" i="11"/>
  <c r="B23" i="11"/>
  <c r="B21" i="11"/>
  <c r="B19" i="11"/>
  <c r="B14" i="10"/>
  <c r="B20" i="10"/>
  <c r="B23" i="10"/>
  <c r="B21" i="10"/>
  <c r="B22" i="10"/>
  <c r="B19" i="9"/>
  <c r="B22" i="9"/>
  <c r="B21" i="9"/>
  <c r="B14" i="9"/>
  <c r="B23" i="9"/>
  <c r="F36" i="7"/>
  <c r="E38" i="8"/>
  <c r="E42" i="8" s="1"/>
  <c r="I42" i="8" s="1"/>
  <c r="D38" i="8"/>
  <c r="D41" i="8" s="1"/>
  <c r="H41" i="8" s="1"/>
  <c r="D35" i="8"/>
  <c r="D32" i="8"/>
  <c r="F32" i="8" s="1"/>
  <c r="B13" i="8"/>
  <c r="B14" i="8" s="1"/>
  <c r="D14" i="8"/>
  <c r="E26" i="8"/>
  <c r="E25" i="8"/>
  <c r="E24" i="8"/>
  <c r="D24" i="8"/>
  <c r="D27" i="8" s="1"/>
  <c r="D29" i="8" s="1"/>
  <c r="E23" i="8"/>
  <c r="D23" i="8"/>
  <c r="C23" i="8"/>
  <c r="E22" i="8"/>
  <c r="D22" i="8"/>
  <c r="C22" i="8"/>
  <c r="E21" i="8"/>
  <c r="D21" i="8"/>
  <c r="C21" i="8"/>
  <c r="E20" i="8"/>
  <c r="D20" i="8"/>
  <c r="C20" i="8"/>
  <c r="E19" i="8"/>
  <c r="D19" i="8"/>
  <c r="C19" i="8"/>
  <c r="K51" i="7"/>
  <c r="E48" i="7"/>
  <c r="E51" i="7" s="1"/>
  <c r="E45" i="7"/>
  <c r="E42" i="7"/>
  <c r="E39" i="7"/>
  <c r="E36" i="7"/>
  <c r="D48" i="7"/>
  <c r="D50" i="7" s="1"/>
  <c r="D45" i="7"/>
  <c r="D42" i="7"/>
  <c r="D39" i="7"/>
  <c r="D36" i="7"/>
  <c r="D33" i="7"/>
  <c r="E25" i="7"/>
  <c r="E26" i="7"/>
  <c r="E27" i="7"/>
  <c r="E28" i="7"/>
  <c r="E29" i="7"/>
  <c r="E30" i="7"/>
  <c r="E31" i="7"/>
  <c r="E32" i="7"/>
  <c r="E33" i="7"/>
  <c r="C23" i="7"/>
  <c r="C24" i="7"/>
  <c r="C25" i="7"/>
  <c r="C26" i="7"/>
  <c r="C27" i="7"/>
  <c r="C28" i="7"/>
  <c r="C29" i="7"/>
  <c r="D14" i="7"/>
  <c r="I45" i="7" s="1"/>
  <c r="B13" i="7"/>
  <c r="B27" i="7" s="1"/>
  <c r="D25" i="7"/>
  <c r="D26" i="7" s="1"/>
  <c r="E24" i="7"/>
  <c r="D24" i="7"/>
  <c r="E23" i="7"/>
  <c r="D23" i="7"/>
  <c r="E22" i="7"/>
  <c r="D22" i="7"/>
  <c r="C22" i="7"/>
  <c r="E21" i="7"/>
  <c r="D21" i="7"/>
  <c r="C21" i="7"/>
  <c r="E20" i="7"/>
  <c r="D20" i="7"/>
  <c r="C20" i="7"/>
  <c r="K47" i="2"/>
  <c r="D40" i="2"/>
  <c r="D44" i="2"/>
  <c r="D36" i="2"/>
  <c r="D31" i="2"/>
  <c r="D32" i="2" s="1"/>
  <c r="E20" i="2"/>
  <c r="E21" i="2"/>
  <c r="E22" i="2"/>
  <c r="E23" i="2"/>
  <c r="E19" i="2"/>
  <c r="D27" i="2"/>
  <c r="D29" i="2" s="1"/>
  <c r="B14" i="7" l="1"/>
  <c r="H36" i="7" s="1"/>
  <c r="J50" i="7" s="1"/>
  <c r="D29" i="7"/>
  <c r="B29" i="7"/>
  <c r="B28" i="7"/>
  <c r="B26" i="7"/>
  <c r="B25" i="7"/>
  <c r="D27" i="7"/>
  <c r="D28" i="7"/>
  <c r="D30" i="7" s="1"/>
  <c r="B21" i="8"/>
  <c r="B23" i="8"/>
  <c r="B20" i="8"/>
  <c r="D25" i="8"/>
  <c r="D28" i="8"/>
  <c r="D26" i="8"/>
  <c r="B19" i="8"/>
  <c r="B22" i="8"/>
  <c r="B20" i="7"/>
  <c r="B23" i="7"/>
  <c r="B24" i="7"/>
  <c r="B21" i="7"/>
  <c r="B22" i="7"/>
  <c r="F30" i="2"/>
  <c r="D24" i="2"/>
  <c r="D25" i="2" s="1"/>
  <c r="D20" i="2"/>
  <c r="D21" i="2"/>
  <c r="D22" i="2"/>
  <c r="D23" i="2"/>
  <c r="D19" i="2"/>
  <c r="C20" i="2"/>
  <c r="C21" i="2"/>
  <c r="C19" i="2"/>
  <c r="D14" i="2"/>
  <c r="B13" i="2"/>
  <c r="B14" i="2" s="1"/>
  <c r="H29" i="2" s="1"/>
  <c r="D46" i="2" s="1"/>
  <c r="J46" i="2" s="1"/>
  <c r="B23" i="2" l="1"/>
  <c r="B21" i="2"/>
  <c r="B22" i="2"/>
  <c r="B20" i="2"/>
  <c r="B1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tc={5BBF446F-824F-4243-9B50-07F4786BE87B}</author>
  </authors>
  <commentList>
    <comment ref="G19" authorId="0" shapeId="0" xr:uid="{5BBF446F-824F-4243-9B50-07F4786BE87B}">
      <text>
        <t>[Threaded comment]
Your version of Excel allows you to read this threaded comment; however, any edits to it will get removed if the file is opened in a newer version of Excel. Learn more: https://go.microsoft.com/fwlink/?linkid=870924
Comment:
    UP + Terminal Bonus (besaran tidak dijamin)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Putri Anindya Sugiarti</author>
  </authors>
  <commentList>
    <comment ref="L23" authorId="0" shapeId="0" xr:uid="{27094318-56EE-4D50-8F5D-7DB992EB8A14}">
      <text>
        <r>
          <rPr>
            <b/>
            <sz val="9"/>
            <color indexed="81"/>
            <rFont val="Tahoma"/>
            <family val="2"/>
          </rPr>
          <t>Putri Anindya Sugiarti:</t>
        </r>
        <r>
          <rPr>
            <sz val="9"/>
            <color indexed="81"/>
            <rFont val="Tahoma"/>
            <family val="2"/>
          </rPr>
          <t xml:space="preserve">
</t>
        </r>
        <r>
          <rPr>
            <sz val="11"/>
            <color indexed="81"/>
            <rFont val="Tahoma"/>
            <family val="2"/>
          </rPr>
          <t xml:space="preserve">Asumsi memenuhi “Persyaratan Yang Dipertanggungkan”. Sehingga batasan maksimum Penarikan Dana Tanahud adalah 100% Premi. Asumsi Penarikan Dana Tanahud sebesar 70% Santunan Asuransi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CK</author>
  </authors>
  <commentList>
    <comment ref="M3" authorId="0" shapeId="0" xr:uid="{652F95C9-CC40-4A7A-BBFE-EF9ABDD1F87E}">
      <text>
        <r>
          <rPr>
            <b/>
            <sz val="9"/>
            <color indexed="81"/>
            <rFont val="Tahoma"/>
            <family val="2"/>
          </rPr>
          <t>Solus:</t>
        </r>
        <r>
          <rPr>
            <sz val="9"/>
            <color indexed="81"/>
            <rFont val="Tahoma"/>
            <family val="2"/>
          </rPr>
          <t xml:space="preserve">
</t>
        </r>
      </text>
    </comment>
    <comment ref="S3" authorId="0" shapeId="0" xr:uid="{F6BEB19A-5382-4914-AB98-C5EB0EC4651E}">
      <text>
        <r>
          <rPr>
            <b/>
            <sz val="9"/>
            <color indexed="81"/>
            <rFont val="Tahoma"/>
            <family val="2"/>
          </rPr>
          <t>Solus:</t>
        </r>
        <r>
          <rPr>
            <sz val="9"/>
            <color indexed="81"/>
            <rFont val="Tahoma"/>
            <family val="2"/>
          </rPr>
          <t xml:space="preserve">
Entry age max at 65</t>
        </r>
      </text>
    </comment>
    <comment ref="AX3" authorId="0" shapeId="0" xr:uid="{BE0FAD34-CDE6-4703-B14A-A7C60EC57E92}">
      <text>
        <r>
          <rPr>
            <b/>
            <sz val="9"/>
            <color indexed="81"/>
            <rFont val="Tahoma"/>
            <family val="2"/>
          </rPr>
          <t>Solus:</t>
        </r>
        <r>
          <rPr>
            <sz val="9"/>
            <color indexed="81"/>
            <rFont val="Tahoma"/>
            <family val="2"/>
          </rPr>
          <t xml:space="preserve">
Entry age max at 65</t>
        </r>
      </text>
    </comment>
  </commentList>
</comments>
</file>

<file path=xl/sharedStrings.xml><?xml version="1.0" encoding="utf-8"?>
<sst xmlns="http://schemas.openxmlformats.org/spreadsheetml/2006/main" count="1495" uniqueCount="385">
  <si>
    <t>Perusahaan Asuransi</t>
  </si>
  <si>
    <t>BCA Life</t>
  </si>
  <si>
    <t>Manulife</t>
  </si>
  <si>
    <t>AIA</t>
  </si>
  <si>
    <t>Nama Produk</t>
  </si>
  <si>
    <t>Tipe Produk</t>
  </si>
  <si>
    <t>Jalur Distribusi</t>
  </si>
  <si>
    <t>Masa Pertanggungan</t>
  </si>
  <si>
    <t>Masa Pembayaran Premi</t>
  </si>
  <si>
    <t>Frekuensi Pembayaran Premi</t>
  </si>
  <si>
    <t>Usia Masuk</t>
  </si>
  <si>
    <t>Underwriting</t>
  </si>
  <si>
    <t>Plan</t>
  </si>
  <si>
    <t>N/A</t>
  </si>
  <si>
    <t>Tersedia</t>
  </si>
  <si>
    <t>Tradisional Seumur Hidup</t>
  </si>
  <si>
    <t xml:space="preserve">Minimum Premi </t>
  </si>
  <si>
    <t>Hingga Tertanggung berusia 99 tahun</t>
  </si>
  <si>
    <t>Sekaligus, Berkala (2,5,10,15) tahun</t>
  </si>
  <si>
    <t>Sekaligus, Bulanan, Kuartalan, Semesteran, Tahunan</t>
  </si>
  <si>
    <t>6 bulan - 70 tahun</t>
  </si>
  <si>
    <t>Full UW</t>
  </si>
  <si>
    <t>Essential: tanpa Manfaat Hidup</t>
  </si>
  <si>
    <t>Secure: dengan Manfaat Hidup</t>
  </si>
  <si>
    <t>Manfaat Meninggal Dunia karena Sebab Apapun</t>
  </si>
  <si>
    <t>Manfaat Tambahan Meninggal Dunia karena Kecelakaan</t>
  </si>
  <si>
    <r>
      <t xml:space="preserve">Manfaat </t>
    </r>
    <r>
      <rPr>
        <b/>
        <i/>
        <sz val="12"/>
        <color theme="0"/>
        <rFont val="Calibri"/>
        <family val="2"/>
        <scheme val="minor"/>
      </rPr>
      <t>Terminal Illness</t>
    </r>
  </si>
  <si>
    <t>Manfaat Hidup</t>
  </si>
  <si>
    <t>Manfaat Pemeriksaan Kesehatan</t>
  </si>
  <si>
    <t>Manfaat Akhir Masa Pertanggungan</t>
  </si>
  <si>
    <t>Fitur Polis</t>
  </si>
  <si>
    <t>Penebusan Polis</t>
  </si>
  <si>
    <t>Pinjaman Polis</t>
  </si>
  <si>
    <t>Manfaat Asuransi</t>
  </si>
  <si>
    <r>
      <t xml:space="preserve">Asuransi Tambahan </t>
    </r>
    <r>
      <rPr>
        <b/>
        <i/>
        <sz val="12"/>
        <color theme="0"/>
        <rFont val="Calibri"/>
        <family val="2"/>
        <scheme val="minor"/>
      </rPr>
      <t>(Riders)</t>
    </r>
  </si>
  <si>
    <t>Heritage Platinum Protection (Heritage+)</t>
  </si>
  <si>
    <t>20% UP hingga maks. Rp3 bio</t>
  </si>
  <si>
    <t>50% ROP (dibayarkan pada Tahun Polis ke-15 atau Usia Tertanggung 60 tahun, mana yang lebih akhir)</t>
  </si>
  <si>
    <t>Rp 2 mio / USD 125</t>
  </si>
  <si>
    <t>- Payor Benefit Plus
- Waiver of Premium Plus</t>
  </si>
  <si>
    <t>Wealth Premier Protection (Premier Pro)</t>
  </si>
  <si>
    <t>Sekaligus, Berkala (2,5,10) tahun</t>
  </si>
  <si>
    <t>Minimum UP</t>
  </si>
  <si>
    <t>Rp500 mio</t>
  </si>
  <si>
    <t>Min. Rp100 mio / tahun</t>
  </si>
  <si>
    <t>Min. Rp4.515.000 / USD505,75 per tahun</t>
  </si>
  <si>
    <t>Rp 2 bio</t>
  </si>
  <si>
    <t>- MPP Sekaligus, 2, 5 tahun: 18 - 70 tahun
- MPP 10 tahun: 18 - 60 tahun</t>
  </si>
  <si>
    <t>Elevate: tanpa Manfaat Hidup</t>
  </si>
  <si>
    <t>Viva: dengan Manfaat Hidup</t>
  </si>
  <si>
    <r>
      <t xml:space="preserve">100% UP + </t>
    </r>
    <r>
      <rPr>
        <i/>
        <sz val="11"/>
        <color theme="1"/>
        <rFont val="Calibri"/>
        <family val="2"/>
        <scheme val="minor"/>
      </rPr>
      <t xml:space="preserve">booster </t>
    </r>
    <r>
      <rPr>
        <sz val="11"/>
        <color theme="1"/>
        <rFont val="Calibri"/>
        <family val="2"/>
        <scheme val="minor"/>
      </rPr>
      <t>UP (booster UP berupa kenaikan UP 10% tiap 3 tahun hingga 200% UP)</t>
    </r>
  </si>
  <si>
    <t>Manfaat Tambahan Meninggal Dunia karena Kecelakaan di Transportasi Umum di Indonesia</t>
  </si>
  <si>
    <t>tambahan 100% UP awal</t>
  </si>
  <si>
    <t>tambahan 150% UP awal</t>
  </si>
  <si>
    <t>25% UP (dibayarkan pada Tahun Polis ke-17 atau Usia Tertanggung 61 tahun, mana yang lebih akhir)</t>
  </si>
  <si>
    <r>
      <t xml:space="preserve">100% UP + </t>
    </r>
    <r>
      <rPr>
        <i/>
        <sz val="11"/>
        <color theme="1"/>
        <rFont val="Calibri"/>
        <family val="2"/>
        <scheme val="minor"/>
      </rPr>
      <t>booster</t>
    </r>
    <r>
      <rPr>
        <sz val="11"/>
        <color theme="1"/>
        <rFont val="Calibri"/>
        <family val="2"/>
        <scheme val="minor"/>
      </rPr>
      <t xml:space="preserve"> UP terbentuk</t>
    </r>
  </si>
  <si>
    <t>berupa persentase Nilai Tebus terbentuk</t>
  </si>
  <si>
    <t xml:space="preserve">Prudential </t>
  </si>
  <si>
    <t>PRUInfinity</t>
  </si>
  <si>
    <t>Bancassurance - UOB</t>
  </si>
  <si>
    <t>Bancassurance - BCA</t>
  </si>
  <si>
    <t>Hingga Tertanggung berusia 100 tahun</t>
  </si>
  <si>
    <t>3 atau 6 tahun</t>
  </si>
  <si>
    <t xml:space="preserve"> Bulanan, Kuartalan, Semesteran, Tahunan</t>
  </si>
  <si>
    <t>Rp 3 bio</t>
  </si>
  <si>
    <t>- PP Individu: 18 - 70 tahun
- PP Perusahaan: 19 - 70 tahun</t>
  </si>
  <si>
    <t>Sun Life</t>
  </si>
  <si>
    <t>Sun Proteksi Heritage 100</t>
  </si>
  <si>
    <t>Agency</t>
  </si>
  <si>
    <t>5 atau 10 tahun</t>
  </si>
  <si>
    <t>Rp 200 mio</t>
  </si>
  <si>
    <t>MiTreasure Whole Life Legacy</t>
  </si>
  <si>
    <t>Plan 5: MPP 5 tahun</t>
  </si>
  <si>
    <t>Plan 10: MPP 10 tahun</t>
  </si>
  <si>
    <t>100% UP</t>
  </si>
  <si>
    <t>Sun Protection Plus</t>
  </si>
  <si>
    <t>berupa Nilai Tunai terbentuk</t>
  </si>
  <si>
    <t>Manfaat Lainnya</t>
  </si>
  <si>
    <t>Min. Rp50 mio / tahun</t>
  </si>
  <si>
    <t>18 - 70 tahun</t>
  </si>
  <si>
    <t>Bancassurance - DBS</t>
  </si>
  <si>
    <t>100% UP dikurangi Manfaat Pembayaran Tunai (jika ada)</t>
  </si>
  <si>
    <t>Jika masih hidup hingga Usia 70 tahun, akan mendapatkan Manfaat Pembayaran Tunai sebesar 20% UP</t>
  </si>
  <si>
    <t>MiTreasure Critical Cover</t>
  </si>
  <si>
    <t>Allianz</t>
  </si>
  <si>
    <t>Premier Heritage Assurance</t>
  </si>
  <si>
    <t>Manulife Protection Optimum Elite (PRIME)</t>
  </si>
  <si>
    <t>Manfaat Tunai dibayarkan pada akhir tahun Polis ke-15 atau usia Tertanggung mencapai 65 tahun, mana yang paling akhir sebesar:</t>
  </si>
  <si>
    <t>berupa Nilai Tebus terbentuk</t>
  </si>
  <si>
    <t>Plan A: hingga Tertanggung berusia 75 tahun
Plan B: hingga Tertanggung 100 tahun</t>
  </si>
  <si>
    <t>Sekaligus, berkala (3 atau 5) tahun</t>
  </si>
  <si>
    <t>Mata Uang</t>
  </si>
  <si>
    <t>Rupiah dan USD</t>
  </si>
  <si>
    <t>Rupiah</t>
  </si>
  <si>
    <t xml:space="preserve">Plan A: 30 hari - 55 tahun
Plan B: 30 hari - 70 tahun </t>
  </si>
  <si>
    <r>
      <rPr>
        <b/>
        <sz val="11"/>
        <color theme="1"/>
        <rFont val="Calibri"/>
        <family val="2"/>
        <scheme val="minor"/>
      </rPr>
      <t xml:space="preserve">Plan B: ulang tahun Polis ke- </t>
    </r>
    <r>
      <rPr>
        <sz val="11"/>
        <color theme="1"/>
        <rFont val="Calibri"/>
        <family val="2"/>
        <scheme val="minor"/>
      </rPr>
      <t xml:space="preserve">
- &lt; 10: 100% UP
- </t>
    </r>
    <r>
      <rPr>
        <sz val="11"/>
        <color theme="1"/>
        <rFont val="Aptos Narrow"/>
        <family val="2"/>
      </rPr>
      <t xml:space="preserve">≥ </t>
    </r>
    <r>
      <rPr>
        <sz val="11"/>
        <color theme="1"/>
        <rFont val="Calibri"/>
        <family val="2"/>
        <scheme val="minor"/>
      </rPr>
      <t xml:space="preserve">10 - &lt; 25 : 150% UP
- </t>
    </r>
    <r>
      <rPr>
        <sz val="11"/>
        <color theme="1"/>
        <rFont val="Aptos Narrow"/>
        <family val="2"/>
      </rPr>
      <t>≥</t>
    </r>
    <r>
      <rPr>
        <sz val="11"/>
        <color theme="1"/>
        <rFont val="Calibri"/>
        <family val="2"/>
      </rPr>
      <t xml:space="preserve"> 25 - akhir masa pertanggungan: 200% UP</t>
    </r>
  </si>
  <si>
    <r>
      <rPr>
        <b/>
        <sz val="11"/>
        <color theme="1"/>
        <rFont val="Calibri"/>
        <family val="2"/>
        <scheme val="minor"/>
      </rPr>
      <t xml:space="preserve">Plan A: ulang tahun Polis ke- </t>
    </r>
    <r>
      <rPr>
        <sz val="11"/>
        <color theme="1"/>
        <rFont val="Calibri"/>
        <family val="2"/>
        <scheme val="minor"/>
      </rPr>
      <t xml:space="preserve">
- &lt; 10: 100% UP
- </t>
    </r>
    <r>
      <rPr>
        <sz val="11"/>
        <color theme="1"/>
        <rFont val="Aptos Narrow"/>
        <family val="2"/>
      </rPr>
      <t xml:space="preserve">≥ </t>
    </r>
    <r>
      <rPr>
        <sz val="11"/>
        <color theme="1"/>
        <rFont val="Calibri"/>
        <family val="2"/>
        <scheme val="minor"/>
      </rPr>
      <t>10 - akhir masa pertanggungan</t>
    </r>
    <r>
      <rPr>
        <sz val="11"/>
        <color theme="1"/>
        <rFont val="Calibri"/>
        <family val="2"/>
        <scheme val="minor"/>
      </rPr>
      <t>: 150% UP</t>
    </r>
  </si>
  <si>
    <t>Bancassurance - HSBC</t>
  </si>
  <si>
    <t>1 bulan - 70 tahun</t>
  </si>
  <si>
    <t xml:space="preserve">3 tahun </t>
  </si>
  <si>
    <t>Min. Rp100 mio / USD10.000 per tahun</t>
  </si>
  <si>
    <t>berupa ROP</t>
  </si>
  <si>
    <r>
      <rPr>
        <b/>
        <sz val="11"/>
        <color theme="1"/>
        <rFont val="Calibri"/>
        <family val="2"/>
        <scheme val="minor"/>
      </rPr>
      <t xml:space="preserve">GIO: </t>
    </r>
    <r>
      <rPr>
        <sz val="11"/>
        <color theme="1"/>
        <rFont val="Calibri"/>
        <family val="2"/>
        <scheme val="minor"/>
      </rPr>
      <t xml:space="preserve">
- Usia Masuk </t>
    </r>
    <r>
      <rPr>
        <sz val="11"/>
        <color theme="1"/>
        <rFont val="Aptos Narrow"/>
        <family val="2"/>
      </rPr>
      <t xml:space="preserve">≤ 65 tahun dengan batasan UW Rp1,5 bio / USD115.000
</t>
    </r>
    <r>
      <rPr>
        <b/>
        <sz val="11"/>
        <color theme="1"/>
        <rFont val="Aptos Narrow"/>
        <family val="2"/>
      </rPr>
      <t>SIO:</t>
    </r>
    <r>
      <rPr>
        <sz val="11"/>
        <color theme="1"/>
        <rFont val="Aptos Narrow"/>
        <family val="2"/>
      </rPr>
      <t xml:space="preserve">
- Usia Masuk &gt; 65 tahun dengan batasan UW Rp1,5 bio / USD115.000; atau
- Usia Masuk ≤</t>
    </r>
    <r>
      <rPr>
        <sz val="11"/>
        <color theme="1"/>
        <rFont val="Calibri"/>
        <family val="2"/>
        <scheme val="minor"/>
      </rPr>
      <t xml:space="preserve"> 60 tahun dengan batasan UW &gt; Rp5 bio / USD380.000
</t>
    </r>
    <r>
      <rPr>
        <b/>
        <sz val="11"/>
        <color theme="1"/>
        <rFont val="Calibri"/>
        <family val="2"/>
        <scheme val="minor"/>
      </rPr>
      <t>Full UW:</t>
    </r>
    <r>
      <rPr>
        <sz val="11"/>
        <color theme="1"/>
        <rFont val="Calibri"/>
        <family val="2"/>
        <scheme val="minor"/>
      </rPr>
      <t xml:space="preserve">
- Usia Masuk &gt; 60 tahun dengan batasan UW h&gt; Rp5 bio / USD380.000 
- Semua Usia Masuk dengan batasan UW &gt; Rp5 bio/ USD380.000</t>
    </r>
  </si>
  <si>
    <t>Plan Heritage Prime: berupa ROP</t>
  </si>
  <si>
    <t>Plan Heritage Infinite: berupa Nilai Tunai</t>
  </si>
  <si>
    <t>Plan Heritage Prime: 
105% ROP + Nilai Tambahan Manfaat Meninggal Dunia (jika ada)</t>
  </si>
  <si>
    <t>Plan Heritage Infinite: 
Manfaat Pembayaran Tunai dijamin + Nilai Tambahan Manfaat Meninggal Dunia (jika ada)</t>
  </si>
  <si>
    <t>Tambahan berupa: 
- hingga Usia 70 tahun: 100% ROP
- &gt; 70 tahun: 70% ROP</t>
  </si>
  <si>
    <r>
      <t xml:space="preserve">100% ROP 
note: untuk </t>
    </r>
    <r>
      <rPr>
        <b/>
        <sz val="11"/>
        <color theme="1"/>
        <rFont val="Calibri"/>
        <family val="2"/>
        <scheme val="minor"/>
      </rPr>
      <t xml:space="preserve">Plan Heritage Infinite, </t>
    </r>
    <r>
      <rPr>
        <sz val="11"/>
        <color theme="1"/>
        <rFont val="Calibri"/>
        <family val="2"/>
        <scheme val="minor"/>
      </rPr>
      <t>apabila Tertanggung sudah Meninggal Dunia, Manfaat ini tetap akan dibayarkan ke Penerima Manfaat</t>
    </r>
  </si>
  <si>
    <t xml:space="preserve">Manfaat Pembayaran Tunai Dijamin + Nilai Tambahan Manfaat Pembayaran Tunai (jika ada):
- dibayarkan mulai Tahun Polis ke-5 berupa persentase ROP setiap bulan hingga 5% ROP
</t>
  </si>
  <si>
    <t>Ketentuan UW</t>
  </si>
  <si>
    <t>MPP</t>
  </si>
  <si>
    <t>Jenis Kelamin</t>
  </si>
  <si>
    <t>Pria</t>
  </si>
  <si>
    <t>Heritage+</t>
  </si>
  <si>
    <t>3 tahun</t>
  </si>
  <si>
    <t>hingga 100 tahun</t>
  </si>
  <si>
    <t>UP</t>
  </si>
  <si>
    <t>hingga 99 tahun</t>
  </si>
  <si>
    <t>Perbandingan Premi</t>
  </si>
  <si>
    <t>Total Premi</t>
  </si>
  <si>
    <t xml:space="preserve">Usia Masuk </t>
  </si>
  <si>
    <t>50 tahun</t>
  </si>
  <si>
    <t xml:space="preserve">Single Premium (Without Living Benefit)  </t>
  </si>
  <si>
    <t xml:space="preserve">2 Years Premium (Without Living Benefit)  </t>
  </si>
  <si>
    <t xml:space="preserve">5 Years Premium (Without Living Benefit)  </t>
  </si>
  <si>
    <t xml:space="preserve">10 Years Premium (Without Living Benefit)  </t>
  </si>
  <si>
    <t xml:space="preserve">Single Premium (With Living Benefit ROP50)  </t>
  </si>
  <si>
    <t xml:space="preserve">2 Years Premium (With Living Benefit ROP50)  </t>
  </si>
  <si>
    <t xml:space="preserve">5 Years Premium (With Living Benefit ROP50)  </t>
  </si>
  <si>
    <t xml:space="preserve">10 Years Premium (With Living Benefit ROP50)  </t>
  </si>
  <si>
    <t xml:space="preserve">15 Years Premium (Without  Living Benefit ROP50)  </t>
  </si>
  <si>
    <t>Premium Table</t>
  </si>
  <si>
    <t>MALE</t>
  </si>
  <si>
    <t>FEMALE</t>
  </si>
  <si>
    <t>Age Last</t>
  </si>
  <si>
    <t>NS</t>
  </si>
  <si>
    <t>15 Years Premium (Without Living Benefit)</t>
  </si>
  <si>
    <t>Masa Tunggu</t>
  </si>
  <si>
    <r>
      <rPr>
        <b/>
        <i/>
        <sz val="12"/>
        <color theme="0"/>
        <rFont val="Calibri"/>
        <family val="2"/>
        <scheme val="minor"/>
      </rPr>
      <t>Automatic Premium Loan</t>
    </r>
    <r>
      <rPr>
        <b/>
        <sz val="12"/>
        <color theme="0"/>
        <rFont val="Calibri"/>
        <family val="2"/>
        <scheme val="minor"/>
      </rPr>
      <t xml:space="preserve"> (APL)</t>
    </r>
  </si>
  <si>
    <t>Q3 2025</t>
  </si>
  <si>
    <t>No info</t>
  </si>
  <si>
    <t>Plan A: hingga Tertanggung berusia 75 tahun</t>
  </si>
  <si>
    <t>Plan B: hingga Tertanggung 100 tahun</t>
  </si>
  <si>
    <t>200% UP dikurangi Manfaat Hidup dan manfaat TI yang sudah dibayarkan (jika ada)</t>
  </si>
  <si>
    <t>5  tahun</t>
  </si>
  <si>
    <t>100% UP + booster UP dikurangi Manfaat Tunai</t>
  </si>
  <si>
    <t>Tidak ada</t>
  </si>
  <si>
    <t>UP hingga 200% UP (kenaikan UP 25% per 5 tahun) dikurangi Manfaat Hidup dan Manfaat TI yang sudah dibayarkan (jika ada)</t>
  </si>
  <si>
    <r>
      <rPr>
        <b/>
        <sz val="11"/>
        <color theme="1"/>
        <rFont val="Calibri"/>
        <family val="2"/>
        <scheme val="minor"/>
      </rPr>
      <t>Manfaat Booster UP (peningkatan UP)</t>
    </r>
    <r>
      <rPr>
        <i/>
        <sz val="11"/>
        <color theme="1"/>
        <rFont val="Calibri"/>
        <family val="2"/>
        <scheme val="minor"/>
      </rPr>
      <t xml:space="preserve">
- booster </t>
    </r>
    <r>
      <rPr>
        <sz val="11"/>
        <color theme="1"/>
        <rFont val="Calibri"/>
        <family val="2"/>
        <scheme val="minor"/>
      </rPr>
      <t xml:space="preserve">UP diberikan setiap ulang tahun Polis mulai Ulang Tahun Polis ke-5
- khusus Tahun Polis ke - 5: 15% UP
- Tahun Polis ke-6 hingga seterusnya: 5% UP (per tahun)
- Maksimum </t>
    </r>
    <r>
      <rPr>
        <i/>
        <sz val="11"/>
        <color theme="1"/>
        <rFont val="Calibri"/>
        <family val="2"/>
        <scheme val="minor"/>
      </rPr>
      <t xml:space="preserve">booster </t>
    </r>
    <r>
      <rPr>
        <sz val="11"/>
        <color theme="1"/>
        <rFont val="Calibri"/>
        <family val="2"/>
        <scheme val="minor"/>
      </rPr>
      <t>150% UP</t>
    </r>
    <r>
      <rPr>
        <i/>
        <sz val="11"/>
        <color theme="1"/>
        <rFont val="Calibri"/>
        <family val="2"/>
        <scheme val="minor"/>
      </rPr>
      <t xml:space="preserve"> </t>
    </r>
    <r>
      <rPr>
        <sz val="11"/>
        <color theme="1"/>
        <rFont val="Calibri"/>
        <family val="2"/>
        <scheme val="minor"/>
      </rPr>
      <t>(total maks UP 250%)</t>
    </r>
  </si>
  <si>
    <t>Premi per tahun</t>
  </si>
  <si>
    <r>
      <t xml:space="preserve">100% UP + </t>
    </r>
    <r>
      <rPr>
        <i/>
        <sz val="11"/>
        <color theme="1"/>
        <rFont val="Calibri"/>
        <family val="2"/>
        <scheme val="minor"/>
      </rPr>
      <t xml:space="preserve">booster </t>
    </r>
    <r>
      <rPr>
        <sz val="11"/>
        <color theme="1"/>
        <rFont val="Calibri"/>
        <family val="2"/>
        <scheme val="minor"/>
      </rPr>
      <t>UP dikurangi Manfaat Tunai</t>
    </r>
  </si>
  <si>
    <t>Secure</t>
  </si>
  <si>
    <t>Perbandingan Manfaat</t>
  </si>
  <si>
    <t>3 tahun: Min. Rp200 mio / tahun
6 tahun: Min. Rp150 mio/tahun</t>
  </si>
  <si>
    <t xml:space="preserve">Tahun Polis </t>
  </si>
  <si>
    <t xml:space="preserve">Manfaat Hidup </t>
  </si>
  <si>
    <t>Manfaat Akhir Pertanggungan</t>
  </si>
  <si>
    <t>Premi Tahunan</t>
  </si>
  <si>
    <t xml:space="preserve">Heritage+ </t>
  </si>
  <si>
    <t>.</t>
  </si>
  <si>
    <t xml:space="preserve">30 hari - 70 tahun
</t>
  </si>
  <si>
    <t xml:space="preserve">Sun Golden 75: dibayarkan apabila Tertanggung hidup hingga usia 75
</t>
  </si>
  <si>
    <t>Manfaat Pembebasan Premi (termasuk Premi Asuransi Tambahan jika ada) karena Pemilik Polis menderita Penyakit Kritis (77 CI dipertanggungkan) - Masa Tunggu 90 hari</t>
  </si>
  <si>
    <t xml:space="preserve">Min Rp3.600.000 / tahun
</t>
  </si>
  <si>
    <t xml:space="preserve">Min. Rp11.400.000 /USD1.080 per bulan
</t>
  </si>
  <si>
    <r>
      <rPr>
        <b/>
        <sz val="11"/>
        <color theme="1"/>
        <rFont val="Calibri"/>
        <family val="2"/>
        <scheme val="minor"/>
      </rPr>
      <t>SIO:</t>
    </r>
    <r>
      <rPr>
        <sz val="11"/>
        <color theme="1"/>
        <rFont val="Calibri"/>
        <family val="2"/>
        <scheme val="minor"/>
      </rPr>
      <t xml:space="preserve"> untuk Usia </t>
    </r>
    <r>
      <rPr>
        <sz val="11"/>
        <color theme="1"/>
        <rFont val="Aptos Narrow"/>
        <family val="2"/>
      </rPr>
      <t>≤</t>
    </r>
    <r>
      <rPr>
        <sz val="11"/>
        <color theme="1"/>
        <rFont val="Calibri"/>
        <family val="2"/>
      </rPr>
      <t xml:space="preserve"> 60 tahun dengan UP </t>
    </r>
    <r>
      <rPr>
        <sz val="11"/>
        <color theme="1"/>
        <rFont val="Aptos Narrow"/>
        <family val="2"/>
      </rPr>
      <t>≤</t>
    </r>
    <r>
      <rPr>
        <sz val="11"/>
        <color theme="1"/>
        <rFont val="Calibri"/>
        <family val="2"/>
      </rPr>
      <t xml:space="preserve"> 5 bio / USD500.000</t>
    </r>
    <r>
      <rPr>
        <sz val="11"/>
        <color theme="1"/>
        <rFont val="Calibri"/>
        <family val="2"/>
        <scheme val="minor"/>
      </rPr>
      <t xml:space="preserve">
</t>
    </r>
    <r>
      <rPr>
        <b/>
        <sz val="11"/>
        <color theme="1"/>
        <rFont val="Calibri"/>
        <family val="2"/>
        <scheme val="minor"/>
      </rPr>
      <t>Full UW</t>
    </r>
    <r>
      <rPr>
        <sz val="11"/>
        <color theme="1"/>
        <rFont val="Calibri"/>
        <family val="2"/>
        <scheme val="minor"/>
      </rPr>
      <t>:
 - seluruh Usia dengan UP &gt; Rp 5 bio / USD500.000
- Usia Tertanggung &gt; 60 tahun dgn UP ≤ Rp 5 bio / USD500.000
- Jika PP memilih Pertanggungan Tambahan</t>
    </r>
  </si>
  <si>
    <t>Plan A (75 thn): 150% UP
Plan B (100 thn): 200% UP</t>
  </si>
  <si>
    <t xml:space="preserve">MiPayor Benefit Plus: Meninggal Dunia &amp; Ketidakmampuan Tetap Total </t>
  </si>
  <si>
    <t>Polis Bebas Premi Disertai Penurunan Uang Pertanggungan (Reduced Paid Up)</t>
  </si>
  <si>
    <t>Illustration Comparison</t>
  </si>
  <si>
    <t>AXA</t>
  </si>
  <si>
    <t>AXA Future Protector</t>
  </si>
  <si>
    <t>Allianz Legacy Pro</t>
  </si>
  <si>
    <t>Sun Proteksi 100</t>
  </si>
  <si>
    <t>10 tahun</t>
  </si>
  <si>
    <t>40 tahun</t>
  </si>
  <si>
    <t>Sun Golden 75</t>
  </si>
  <si>
    <t>Manulife Prime</t>
  </si>
  <si>
    <t>5 tahun</t>
  </si>
  <si>
    <t>Plan B - 100 tahun</t>
  </si>
  <si>
    <t>Essential</t>
  </si>
  <si>
    <t>SIO</t>
  </si>
  <si>
    <t>5,10,15 tahun</t>
  </si>
  <si>
    <t xml:space="preserve">MPP 5 - 10 tahun: 1 bulan - 70 tahun
MPP 15 tahun: 1 bulan - 59 tahun
</t>
  </si>
  <si>
    <t>Rp200 mio / USD20.000</t>
  </si>
  <si>
    <r>
      <t xml:space="preserve">100% UP + </t>
    </r>
    <r>
      <rPr>
        <i/>
        <sz val="11"/>
        <color theme="1"/>
        <rFont val="Calibri"/>
        <family val="2"/>
        <scheme val="minor"/>
      </rPr>
      <t xml:space="preserve">booster </t>
    </r>
    <r>
      <rPr>
        <sz val="11"/>
        <color theme="1"/>
        <rFont val="Calibri"/>
        <family val="2"/>
        <scheme val="minor"/>
      </rPr>
      <t>UP pada saat Tertanggung mencapai Usia 75 tahun</t>
    </r>
  </si>
  <si>
    <r>
      <t xml:space="preserve">ketentuan </t>
    </r>
    <r>
      <rPr>
        <i/>
        <sz val="11"/>
        <color theme="1"/>
        <rFont val="Calibri"/>
        <family val="2"/>
        <scheme val="minor"/>
      </rPr>
      <t xml:space="preserve">booster </t>
    </r>
    <r>
      <rPr>
        <sz val="11"/>
        <color theme="1"/>
        <rFont val="Calibri"/>
        <family val="2"/>
        <scheme val="minor"/>
      </rPr>
      <t xml:space="preserve">UP: 
- +50% UP apabila Pemegang Polis memenuhi seluruh kriteria Persyaratan </t>
    </r>
    <r>
      <rPr>
        <i/>
        <sz val="11"/>
        <color theme="1"/>
        <rFont val="Calibri"/>
        <family val="2"/>
        <scheme val="minor"/>
      </rPr>
      <t>booster</t>
    </r>
    <r>
      <rPr>
        <sz val="11"/>
        <color theme="1"/>
        <rFont val="Calibri"/>
        <family val="2"/>
        <scheme val="minor"/>
      </rPr>
      <t xml:space="preserve">
- +25% UP apabila Pemegang Polis tidak memenuhi salah satu kriteria Persyaratan </t>
    </r>
    <r>
      <rPr>
        <i/>
        <sz val="11"/>
        <color theme="1"/>
        <rFont val="Calibri"/>
        <family val="2"/>
        <scheme val="minor"/>
      </rPr>
      <t>booster</t>
    </r>
  </si>
  <si>
    <t>Pembebasan Premi jika terkena CI (77 Penyakit kritis)</t>
  </si>
  <si>
    <t>No Info</t>
  </si>
  <si>
    <t xml:space="preserve">Benefit Comparison </t>
  </si>
  <si>
    <t>Manfaat Meninggal Dunia</t>
  </si>
  <si>
    <t>Manfaat Tambahan MD karena Kecelakaan</t>
  </si>
  <si>
    <t>✓</t>
  </si>
  <si>
    <t>x</t>
  </si>
  <si>
    <r>
      <t xml:space="preserve">Manfaat </t>
    </r>
    <r>
      <rPr>
        <i/>
        <sz val="14"/>
        <color theme="1"/>
        <rFont val="Calibri"/>
        <family val="2"/>
        <scheme val="minor"/>
      </rPr>
      <t>Terminal Illness</t>
    </r>
  </si>
  <si>
    <t>AIA Program</t>
  </si>
  <si>
    <t xml:space="preserve">Tidak ada </t>
  </si>
  <si>
    <t>Feature Comparison</t>
  </si>
  <si>
    <t>Min. UP</t>
  </si>
  <si>
    <t>Min. Premi</t>
  </si>
  <si>
    <t>Sekaligus, 2/5/10/15 tahun</t>
  </si>
  <si>
    <t>Rp4,5 mio</t>
  </si>
  <si>
    <t>X</t>
  </si>
  <si>
    <t>Rp3,6 mio</t>
  </si>
  <si>
    <t>Rp150 mio</t>
  </si>
  <si>
    <t>Sekaligus, 3/5 tahun</t>
  </si>
  <si>
    <t>Rp11,4 mio</t>
  </si>
  <si>
    <r>
      <t xml:space="preserve">Feature &amp; Benefit
Strong Point:
- </t>
    </r>
    <r>
      <rPr>
        <sz val="16"/>
        <color theme="1"/>
        <rFont val="Calibri"/>
        <family val="2"/>
        <scheme val="minor"/>
      </rPr>
      <t xml:space="preserve">Heritage+ memiliki variasi MPP yang lebih banyak. 
- Manfaat Meninggal Dunia pada produk Heritage+ lebih tinggi, yaitu hingga 200% UP sedangkan Sun Proteksi Heritage hanya 100% UP (tidak ada booster UP).
- Heritage+ memiliki manfaat asuransi yang lebih lengkap, yaitu Manfaat Tambahan Meninggal Dunia karena Kecelakaan, Manfaat </t>
    </r>
    <r>
      <rPr>
        <i/>
        <sz val="16"/>
        <color theme="1"/>
        <rFont val="Calibri"/>
        <family val="2"/>
        <scheme val="minor"/>
      </rPr>
      <t>Terminal Illness</t>
    </r>
    <r>
      <rPr>
        <sz val="16"/>
        <color theme="1"/>
        <rFont val="Calibri"/>
        <family val="2"/>
        <scheme val="minor"/>
      </rPr>
      <t xml:space="preserve">, dan Manfaat Pemeriksaan Kesehatan. 
- Heritage+ tersedia dalam USD
</t>
    </r>
    <r>
      <rPr>
        <b/>
        <sz val="16"/>
        <color rgb="FFFF0000"/>
        <rFont val="Calibri"/>
        <family val="2"/>
        <scheme val="minor"/>
      </rPr>
      <t>Weak Point:</t>
    </r>
    <r>
      <rPr>
        <b/>
        <sz val="16"/>
        <color theme="1"/>
        <rFont val="Calibri"/>
        <family val="2"/>
        <scheme val="minor"/>
      </rPr>
      <t xml:space="preserve">
</t>
    </r>
    <r>
      <rPr>
        <sz val="16"/>
        <color theme="1"/>
        <rFont val="Calibri"/>
        <family val="2"/>
        <scheme val="minor"/>
      </rPr>
      <t xml:space="preserve">- Manfaat Pembebasan Premi pada Sun Proteksi 100 merupakan manfaat asuransi dasar, bukan riders seperti Heritage+
</t>
    </r>
    <r>
      <rPr>
        <b/>
        <sz val="16"/>
        <color theme="1"/>
        <rFont val="Calibri"/>
        <family val="2"/>
        <scheme val="minor"/>
      </rPr>
      <t>Illustration
Strong Point:</t>
    </r>
    <r>
      <rPr>
        <sz val="16"/>
        <color theme="1"/>
        <rFont val="Calibri"/>
        <family val="2"/>
        <scheme val="minor"/>
      </rPr>
      <t xml:space="preserve">
- Manfaat Hidup Heritage+ lebih cepat didapatkan, yaitu pada Usia Tertanggung 60 tahun, sedangkan Sun Proteksi 100 didapatkan pada Usia Tertanggung 75.
- Nilai Manfaat Meninggal Dunia karena Sebab Apapun lebih besar dibandingkan Sun Proteksi 100.
</t>
    </r>
    <r>
      <rPr>
        <sz val="16"/>
        <rFont val="Calibri"/>
        <family val="2"/>
        <scheme val="minor"/>
      </rPr>
      <t xml:space="preserve">
</t>
    </r>
    <r>
      <rPr>
        <b/>
        <sz val="16"/>
        <color rgb="FFFF0000"/>
        <rFont val="Calibri"/>
        <family val="2"/>
        <scheme val="minor"/>
      </rPr>
      <t>Weak Point:</t>
    </r>
    <r>
      <rPr>
        <b/>
        <sz val="16"/>
        <rFont val="Calibri"/>
        <family val="2"/>
        <scheme val="minor"/>
      </rPr>
      <t xml:space="preserve">
</t>
    </r>
    <r>
      <rPr>
        <sz val="16"/>
        <color theme="1"/>
        <rFont val="Calibri"/>
        <family val="2"/>
        <scheme val="minor"/>
      </rPr>
      <t>- Dengan ilustrasi yang sama, Premi Heritage+ lebih mahal dibandingkan Sun Proteksi Heritage 100 (2,7x).
- Manfaat Pembebasan Premi pada Sun Proteksi Heritage 100 merupakan manfaat asuransi dasar, bukan bersifat tambahan seperti pada Heritage+. 
- Manfaat Akhir Pertanggungan pada produk Sun Proteksi Heritage 100 tidak dikurangi dengan Manfaat Hidup.</t>
    </r>
    <r>
      <rPr>
        <i/>
        <sz val="16"/>
        <color theme="1"/>
        <rFont val="Calibri"/>
        <family val="2"/>
        <scheme val="minor"/>
      </rPr>
      <t xml:space="preserve"> (walaupun secara nominal, Heritage+ tetap lebih unggul)
</t>
    </r>
    <r>
      <rPr>
        <sz val="16"/>
        <color theme="1"/>
        <rFont val="Calibri"/>
        <family val="2"/>
        <scheme val="minor"/>
      </rPr>
      <t xml:space="preserve">
</t>
    </r>
  </si>
  <si>
    <r>
      <rPr>
        <b/>
        <sz val="16"/>
        <color theme="1"/>
        <rFont val="Calibri"/>
        <family val="2"/>
        <scheme val="minor"/>
      </rPr>
      <t>Feature, Benefit, &amp; Illustration</t>
    </r>
    <r>
      <rPr>
        <b/>
        <sz val="14"/>
        <color theme="1"/>
        <rFont val="Calibri"/>
        <family val="2"/>
        <scheme val="minor"/>
      </rPr>
      <t xml:space="preserve">
Strong Point:
</t>
    </r>
    <r>
      <rPr>
        <sz val="14"/>
        <color theme="1"/>
        <rFont val="Calibri"/>
        <family val="2"/>
        <scheme val="minor"/>
      </rPr>
      <t xml:space="preserve">- Dari segi Manfaat, Heritage+ lebih unggul dibandingkan Prime karena memiliki Manfaat Tambahan Meninggal Dunia karena Kecelakaan, Manfaat </t>
    </r>
    <r>
      <rPr>
        <i/>
        <sz val="14"/>
        <color theme="1"/>
        <rFont val="Calibri"/>
        <family val="2"/>
        <scheme val="minor"/>
      </rPr>
      <t xml:space="preserve">Terminal Illness, </t>
    </r>
    <r>
      <rPr>
        <sz val="14"/>
        <color theme="1"/>
        <rFont val="Calibri"/>
        <family val="2"/>
        <scheme val="minor"/>
      </rPr>
      <t xml:space="preserve">dan Manfaat Pemeriksaan Kesehatan. 
- Dari segi Premi dengan ilustrasi yang sama, Premi Heritage+ lebih murah dibandingkan Prime.
- Walaupun batas kenaikan UP sama-sama hingga 200%, namun kenaikan UP pada Heritage+ lebih cepat dibandingkan Prime. 
</t>
    </r>
    <r>
      <rPr>
        <b/>
        <sz val="14"/>
        <color theme="1"/>
        <rFont val="Calibri"/>
        <family val="2"/>
        <scheme val="minor"/>
      </rPr>
      <t xml:space="preserve">Weak Point:
</t>
    </r>
    <r>
      <rPr>
        <sz val="14"/>
        <color theme="1"/>
        <rFont val="Calibri"/>
        <family val="2"/>
        <scheme val="minor"/>
      </rPr>
      <t xml:space="preserve">- Terdapat opsi ketentuan UW SIO pada produk Manulife Prime. Untuk ilustrasi yang sama, ketentuan UW pada Prime adalah SIO sedangkan Heritage+ Full UW. 
</t>
    </r>
    <r>
      <rPr>
        <b/>
        <sz val="14"/>
        <color theme="1"/>
        <rFont val="Calibri"/>
        <family val="2"/>
        <scheme val="minor"/>
      </rPr>
      <t xml:space="preserve">Conclusion:
</t>
    </r>
    <r>
      <rPr>
        <sz val="14"/>
        <color theme="1"/>
        <rFont val="Calibri"/>
        <family val="2"/>
        <scheme val="minor"/>
      </rPr>
      <t xml:space="preserve">Secara keseluruhan, produk Heritage+ lebih unggul dengan Premi yang lebih murah, Manfaat Asuransi yang lebih lengkap, dan kenaikan UP yang lebih cepat dibandingkan produk Prime.  </t>
    </r>
  </si>
  <si>
    <r>
      <rPr>
        <b/>
        <sz val="16"/>
        <color theme="1"/>
        <rFont val="Calibri"/>
        <family val="2"/>
        <scheme val="minor"/>
      </rPr>
      <t>Feature &amp; Benefit</t>
    </r>
    <r>
      <rPr>
        <b/>
        <sz val="14"/>
        <color theme="1"/>
        <rFont val="Calibri"/>
        <family val="2"/>
        <scheme val="minor"/>
      </rPr>
      <t xml:space="preserve">
Strong Point:
- </t>
    </r>
    <r>
      <rPr>
        <sz val="14"/>
        <color theme="1"/>
        <rFont val="Calibri"/>
        <family val="2"/>
        <scheme val="minor"/>
      </rPr>
      <t xml:space="preserve">Heritage+ memiliki pilihan MPP yang lebih panjang dan Usia masuk lebih awal dibandingkan PRUInfinity
- Heritage+ memiliki pilihan mata uang USD.
- Dari segi manfaat, Heritage+ lebih unggul dengan adanya Manfaat Tambahan Meninggal Dunia karena Kecelakaan, Manfaat Terminal Illness dan Pemeriksaan Kesehatan
</t>
    </r>
    <r>
      <rPr>
        <b/>
        <sz val="14"/>
        <color rgb="FFFF0000"/>
        <rFont val="Calibri"/>
        <family val="2"/>
        <scheme val="minor"/>
      </rPr>
      <t xml:space="preserve">Weak Point:
</t>
    </r>
    <r>
      <rPr>
        <sz val="14"/>
        <color theme="1"/>
        <rFont val="Calibri"/>
        <family val="2"/>
        <scheme val="minor"/>
      </rPr>
      <t xml:space="preserve">- Kenaikan </t>
    </r>
    <r>
      <rPr>
        <i/>
        <sz val="14"/>
        <color theme="1"/>
        <rFont val="Calibri"/>
        <family val="2"/>
        <scheme val="minor"/>
      </rPr>
      <t xml:space="preserve">booster </t>
    </r>
    <r>
      <rPr>
        <sz val="14"/>
        <color theme="1"/>
        <rFont val="Calibri"/>
        <family val="2"/>
        <scheme val="minor"/>
      </rPr>
      <t xml:space="preserve">UP pada PRUInfinity maksimal 250% UP, sedangkan Heritage+ 200% UP. 
</t>
    </r>
    <r>
      <rPr>
        <b/>
        <sz val="16"/>
        <color theme="1"/>
        <rFont val="Calibri"/>
        <family val="2"/>
        <scheme val="minor"/>
      </rPr>
      <t>Illustration</t>
    </r>
    <r>
      <rPr>
        <b/>
        <sz val="14"/>
        <color theme="1"/>
        <rFont val="Calibri"/>
        <family val="2"/>
        <scheme val="minor"/>
      </rPr>
      <t xml:space="preserve">
Strong Point:</t>
    </r>
    <r>
      <rPr>
        <sz val="14"/>
        <color theme="1"/>
        <rFont val="Calibri"/>
        <family val="2"/>
        <scheme val="minor"/>
      </rPr>
      <t xml:space="preserve">
- Berdasarkan comparison ilustrasi, dengan UP dan Usia Masuk yang sama, Premi Heritage+ lebih murah walaupun MPP lebih panjang. 
- Manfaat Hidup Heritage+ didapatkan lebih awal, dengan nominal yang lebih tinggi dibanding PRUInfinity.
- Walaupun PRUInfinity memiliki fitur Booster UP, namun peningkatan UP pada Heritage+ secara nominal lebih besar (Tahun 5: BCAL 25%, PRU 15%), sehingga memberikan nilai proteksi yang lebih optimal. 
</t>
    </r>
    <r>
      <rPr>
        <b/>
        <sz val="14"/>
        <color rgb="FFFF0000"/>
        <rFont val="Calibri"/>
        <family val="2"/>
        <scheme val="minor"/>
      </rPr>
      <t xml:space="preserve">Weak Point:
</t>
    </r>
    <r>
      <rPr>
        <sz val="14"/>
        <color theme="1"/>
        <rFont val="Calibri"/>
        <family val="2"/>
        <scheme val="minor"/>
      </rPr>
      <t xml:space="preserve">- Nilai Manfaat Akhir Masa Pertanggungan pada PRUInfinity 34% lebih tinggi dibandingkan Heritage+.
</t>
    </r>
    <r>
      <rPr>
        <b/>
        <sz val="14"/>
        <color theme="1"/>
        <rFont val="Calibri"/>
        <family val="2"/>
        <scheme val="minor"/>
      </rPr>
      <t>NOTE:</t>
    </r>
    <r>
      <rPr>
        <sz val="14"/>
        <color theme="1"/>
        <rFont val="Calibri"/>
        <family val="2"/>
        <scheme val="minor"/>
      </rPr>
      <t xml:space="preserve"> Berdasarkan perbandingan Minimum Premi dan UP, segmen market Heritage+ dan PRUInfinity berbeda. Heritage+ lebih cocok untuk segmen HNWI dan Affluent, sedangkan PRUInfinity lebih ditujukan bagi HNWI. 
</t>
    </r>
  </si>
  <si>
    <t>SIO &amp; Full UW</t>
  </si>
  <si>
    <t>Manfaat Pembebasan Premi (CI)</t>
  </si>
  <si>
    <t>Penebusan Polis (Nilai Tunai)</t>
  </si>
  <si>
    <t xml:space="preserve">✓ </t>
  </si>
  <si>
    <t>Penebusan Polis (Nilai Tebus)</t>
  </si>
  <si>
    <r>
      <t>✓</t>
    </r>
    <r>
      <rPr>
        <b/>
        <sz val="10"/>
        <color rgb="FFFF0000"/>
        <rFont val="Aptos Narrow"/>
        <family val="2"/>
      </rPr>
      <t xml:space="preserve"> (50% ROP)</t>
    </r>
  </si>
  <si>
    <t>Ketentuan Manfaat Hidup</t>
  </si>
  <si>
    <t>untuk Usia ≤ 60 tahun dengan UP ≤ 5 bio / USD500.000</t>
  </si>
  <si>
    <t>- seluruh Usia dengan UP &gt; Rp 5 bio / USD500.000
- Usia Tertanggung &gt; 60 tahun dgn UP ≤ Rp 5 bio / USD500.000
- Jika PP memilih Pertanggungan Tambahan</t>
  </si>
  <si>
    <t>Ketentuan Manfaat Hidup PRUInfinity</t>
  </si>
  <si>
    <t>Full UW (Non Medis)</t>
  </si>
  <si>
    <t>AIA WPP</t>
  </si>
  <si>
    <t xml:space="preserve">Elevate </t>
  </si>
  <si>
    <t>35 tahun</t>
  </si>
  <si>
    <t xml:space="preserve"> </t>
  </si>
  <si>
    <t>Manfaat Tambahan MD karena Kecelakaan di Transportasi Umum</t>
  </si>
  <si>
    <t>Sekaligus, 2, 5 tahun</t>
  </si>
  <si>
    <t>Rp100 mio</t>
  </si>
  <si>
    <t>Viva</t>
  </si>
  <si>
    <r>
      <t xml:space="preserve">✓ </t>
    </r>
    <r>
      <rPr>
        <b/>
        <sz val="14"/>
        <color rgb="FFFF0000"/>
        <rFont val="Aptos Narrow"/>
        <family val="2"/>
      </rPr>
      <t>(50% ROP)</t>
    </r>
  </si>
  <si>
    <r>
      <t>✓</t>
    </r>
    <r>
      <rPr>
        <b/>
        <sz val="14"/>
        <color rgb="FFFF0000"/>
        <rFont val="Aptos Narrow"/>
        <family val="2"/>
      </rPr>
      <t xml:space="preserve"> (25% UP Awal)</t>
    </r>
  </si>
  <si>
    <r>
      <rPr>
        <b/>
        <sz val="16"/>
        <color theme="1"/>
        <rFont val="Calibri"/>
        <family val="2"/>
        <scheme val="minor"/>
      </rPr>
      <t>Feature &amp; Benefit</t>
    </r>
    <r>
      <rPr>
        <b/>
        <sz val="14"/>
        <color theme="1"/>
        <rFont val="Calibri"/>
        <family val="2"/>
        <scheme val="minor"/>
      </rPr>
      <t xml:space="preserve">
Strong Point:
</t>
    </r>
    <r>
      <rPr>
        <sz val="14"/>
        <color theme="1"/>
        <rFont val="Calibri"/>
        <family val="2"/>
        <scheme val="minor"/>
      </rPr>
      <t xml:space="preserve">- Heritage+ memiliki pilihan mata uang USD.
- Dari segi manfaat, Heritage+ lebih unggul dengan adanya Manfaat Tambahan Meninggal Dunia karena Kecelakaan, Manfaat Terminal Illness, dan Penebusan Polis
</t>
    </r>
    <r>
      <rPr>
        <b/>
        <sz val="14"/>
        <color rgb="FFFF0000"/>
        <rFont val="Calibri"/>
        <family val="2"/>
        <scheme val="minor"/>
      </rPr>
      <t xml:space="preserve">Weak Point:
</t>
    </r>
    <r>
      <rPr>
        <sz val="14"/>
        <color theme="1"/>
        <rFont val="Calibri"/>
        <family val="2"/>
        <scheme val="minor"/>
      </rPr>
      <t xml:space="preserve">- Kenaikan </t>
    </r>
    <r>
      <rPr>
        <i/>
        <sz val="14"/>
        <color theme="1"/>
        <rFont val="Calibri"/>
        <family val="2"/>
        <scheme val="minor"/>
      </rPr>
      <t xml:space="preserve">booster </t>
    </r>
    <r>
      <rPr>
        <sz val="14"/>
        <color theme="1"/>
        <rFont val="Calibri"/>
        <family val="2"/>
        <scheme val="minor"/>
      </rPr>
      <t xml:space="preserve">UP pada AIA WPP maksimal 300% UP, sedangkan Heritage+ 200% UP. 
- AIA WPP memiliki manfaat tambahan MD karena Kecelakaan di transportasi umum sebesar 150% UP
</t>
    </r>
    <r>
      <rPr>
        <b/>
        <sz val="16"/>
        <color theme="1"/>
        <rFont val="Calibri"/>
        <family val="2"/>
        <scheme val="minor"/>
      </rPr>
      <t>Illustration</t>
    </r>
    <r>
      <rPr>
        <b/>
        <sz val="14"/>
        <color theme="1"/>
        <rFont val="Calibri"/>
        <family val="2"/>
        <scheme val="minor"/>
      </rPr>
      <t xml:space="preserve">
Strong Point:</t>
    </r>
    <r>
      <rPr>
        <sz val="14"/>
        <color theme="1"/>
        <rFont val="Calibri"/>
        <family val="2"/>
        <scheme val="minor"/>
      </rPr>
      <t xml:space="preserve">
- Berdasarkan comparison ilustrasi, dengan UP dan Usia Masuk yang sama, Premi Heritage+ lebih murah dibandingkan AIA WPP. 
- Walaupun booster UP AIA WPP hingga 300% UP, namun jika dilihat UP AIA WPP baru menyaingi Heritage+ di Tahun Polis ke-37,  yaitu ketika Usia Nasabah 72 tahun
</t>
    </r>
    <r>
      <rPr>
        <b/>
        <sz val="14"/>
        <color rgb="FFFF0000"/>
        <rFont val="Calibri"/>
        <family val="2"/>
        <scheme val="minor"/>
      </rPr>
      <t xml:space="preserve">Weak Point:
</t>
    </r>
    <r>
      <rPr>
        <sz val="14"/>
        <color theme="1"/>
        <rFont val="Calibri"/>
        <family val="2"/>
        <scheme val="minor"/>
      </rPr>
      <t xml:space="preserve">- Nilai Manfaat Akhir Masa Pertanggungan pada AIA WPP lebih tinggi dibandingkan Heritage+.
</t>
    </r>
    <r>
      <rPr>
        <b/>
        <sz val="14"/>
        <color theme="1"/>
        <rFont val="Calibri"/>
        <family val="2"/>
        <scheme val="minor"/>
      </rPr>
      <t>NOTE:</t>
    </r>
    <r>
      <rPr>
        <sz val="14"/>
        <color theme="1"/>
        <rFont val="Calibri"/>
        <family val="2"/>
        <scheme val="minor"/>
      </rPr>
      <t xml:space="preserve"> Berdasarkan perbandingan Minimum Premi dan UP, segmen market Heritage+ dan AIA WPP berbeda. Heritage+ lebih cocok untuk segmen HNWI dan Affluent, sedangkan AIA WPP lebih ditujukan bagi HNWI. 
</t>
    </r>
  </si>
  <si>
    <r>
      <t xml:space="preserve">Feature &amp; Benefit
Strong Point:
- </t>
    </r>
    <r>
      <rPr>
        <sz val="14"/>
        <color theme="1"/>
        <rFont val="Calibri"/>
        <family val="2"/>
        <scheme val="minor"/>
      </rPr>
      <t>Heritage+ memiliki pilihan mata uang USD.
- Dari segi manfaat, Heritage+ lebih unggul dengan adanya Manfaat Tambahan Meninggal Dunia karena Kecelakaan, Manfaat Terminal Illness, dan Penebusan Polis</t>
    </r>
    <r>
      <rPr>
        <b/>
        <sz val="14"/>
        <color theme="1"/>
        <rFont val="Calibri"/>
        <family val="2"/>
        <scheme val="minor"/>
      </rPr>
      <t xml:space="preserve">
</t>
    </r>
    <r>
      <rPr>
        <b/>
        <sz val="14"/>
        <color rgb="FFFF0000"/>
        <rFont val="Calibri"/>
        <family val="2"/>
        <scheme val="minor"/>
      </rPr>
      <t>Weak Point:</t>
    </r>
    <r>
      <rPr>
        <b/>
        <sz val="14"/>
        <color theme="1"/>
        <rFont val="Calibri"/>
        <family val="2"/>
        <scheme val="minor"/>
      </rPr>
      <t xml:space="preserve">
</t>
    </r>
    <r>
      <rPr>
        <sz val="14"/>
        <color theme="1"/>
        <rFont val="Calibri"/>
        <family val="2"/>
        <scheme val="minor"/>
      </rPr>
      <t xml:space="preserve">- Kenaikan booster UP pada AIA WPP maksimal 300% UP, sedangkan Heritage+ 200% UP. 
- AIA WPP memiliki manfaat tambahan MD karena Kecelakaan di transportasi umum sebesar 150% UP
</t>
    </r>
    <r>
      <rPr>
        <b/>
        <sz val="14"/>
        <color theme="1"/>
        <rFont val="Calibri"/>
        <family val="2"/>
        <scheme val="minor"/>
      </rPr>
      <t xml:space="preserve">
Illustration
Strong Point:
</t>
    </r>
    <r>
      <rPr>
        <sz val="14"/>
        <color theme="1"/>
        <rFont val="Calibri"/>
        <family val="2"/>
        <scheme val="minor"/>
      </rPr>
      <t xml:space="preserve">- Berdasarkan comparison ilustrasi, dengan UP dan Usia Masuk yang sama, Premi Heritage+ lebih murah dibandingkan AIA WPP. 
- Walaupun booster UP AIA WPP hingga 300% UP, namun jika dilihat UP AIA WPP baru menyaingi Heritage+ di Tahun Polis terakhir. 
</t>
    </r>
    <r>
      <rPr>
        <b/>
        <sz val="14"/>
        <color theme="1"/>
        <rFont val="Calibri"/>
        <family val="2"/>
        <scheme val="minor"/>
      </rPr>
      <t xml:space="preserve">
</t>
    </r>
    <r>
      <rPr>
        <b/>
        <sz val="14"/>
        <color rgb="FFFF0000"/>
        <rFont val="Calibri"/>
        <family val="2"/>
        <scheme val="minor"/>
      </rPr>
      <t>Weak Point:</t>
    </r>
    <r>
      <rPr>
        <b/>
        <sz val="14"/>
        <color theme="1"/>
        <rFont val="Calibri"/>
        <family val="2"/>
        <scheme val="minor"/>
      </rPr>
      <t xml:space="preserve">
</t>
    </r>
    <r>
      <rPr>
        <sz val="14"/>
        <color theme="1"/>
        <rFont val="Calibri"/>
        <family val="2"/>
        <scheme val="minor"/>
      </rPr>
      <t>- Nilai Manfaat Akhir Masa Pertanggungan pada AIA WPP lebih tinggi dibandingkan Heritage+.
- Nominal Manfaat Hidup AIA WPP lebih besar dibandingkan Heritage+</t>
    </r>
    <r>
      <rPr>
        <b/>
        <sz val="14"/>
        <color theme="1"/>
        <rFont val="Calibri"/>
        <family val="2"/>
        <scheme val="minor"/>
      </rPr>
      <t xml:space="preserve">
</t>
    </r>
    <r>
      <rPr>
        <sz val="14"/>
        <color theme="1"/>
        <rFont val="Calibri"/>
        <family val="2"/>
        <scheme val="minor"/>
      </rPr>
      <t xml:space="preserve">NOTE: Berdasarkan perbandingan Minimum Premi dan UP, segmen market Heritage+ dan AIA WPP berbeda. Heritage+ lebih cocok untuk segmen HNWI dan Affluent, sedangkan AIA WPP lebih ditujukan bagi HNWI. </t>
    </r>
    <r>
      <rPr>
        <b/>
        <sz val="14"/>
        <color theme="1"/>
        <rFont val="Calibri"/>
        <family val="2"/>
        <scheme val="minor"/>
      </rPr>
      <t xml:space="preserve">
</t>
    </r>
  </si>
  <si>
    <t>SunLife</t>
  </si>
  <si>
    <t>Manulife Dynamic Life Assurance</t>
  </si>
  <si>
    <t>X-Tra Proteksi Waris USD</t>
  </si>
  <si>
    <t>Asuransi Dwiguna</t>
  </si>
  <si>
    <t>Asuransi Seumur Hidup</t>
  </si>
  <si>
    <t>Plan A: 20/30 tahun
Plan B: 20/30/40/50/60 tahun
Plan C: 20/30/40/50/60/70/80/90 tahun</t>
  </si>
  <si>
    <t>Seumur hidup/Hingga Tertanggung mencapai Usia 100 tahun</t>
  </si>
  <si>
    <t>5/10/15/20 tahun</t>
  </si>
  <si>
    <t>Sekaligus dan 5 thun</t>
  </si>
  <si>
    <t>Tahunan, Semester, Kuartalan, dan Bulanan</t>
  </si>
  <si>
    <t>Rp 100 mio</t>
  </si>
  <si>
    <t xml:space="preserve">
ditentukan berdasarkan Premi Tahunan yang dipilih pada saat pengajuan asuransi</t>
  </si>
  <si>
    <t>Minimum: 30 hari
Maksimum: Mana yang lebih kecil antara 70 atau 110 tahun dikurangi Masa Pertanggungan</t>
  </si>
  <si>
    <t>Tertanggung: 30 hari - 70 tahun
Tertanggung Manfaat Pembebasan Premi: 18 - 70 tahun</t>
  </si>
  <si>
    <t>Rupiah (IDR)</t>
  </si>
  <si>
    <t>USD</t>
  </si>
  <si>
    <t>Plan A, Plan B, Plan C (dibedakan berdasarkan Masa Pertanggungan dan Manfaat Maturity)</t>
  </si>
  <si>
    <t>Plan Prime, Plan Signature, Plan Excellence</t>
  </si>
  <si>
    <t>100% UP dan selanjutnya Polis berakhir</t>
  </si>
  <si>
    <t>Plan A: tidak ada
Plan B: 100% ROP
Plan C: 100% UP dasar</t>
  </si>
  <si>
    <t xml:space="preserve">100% UP + Terminal Bonus (jika ada) </t>
  </si>
  <si>
    <t>- Manulife Waiver of Premium (CI): 49 Penyakit Kritis di cover
- Life Assurance Plus: perlindungan tambahan berupa Manfaat Meninggal Dunia</t>
  </si>
  <si>
    <t>Manfaat Pembebasan Premi jika terdiagnosis CI atau hingga Tertanggung mencapai Usia 75 tahun, mana yang terlebih dahulu terjadi</t>
  </si>
  <si>
    <r>
      <rPr>
        <b/>
        <sz val="11"/>
        <color theme="1"/>
        <rFont val="Calibri"/>
        <family val="2"/>
        <scheme val="minor"/>
      </rPr>
      <t>Nilai Tunai terbentuk</t>
    </r>
    <r>
      <rPr>
        <sz val="11"/>
        <color theme="1"/>
        <rFont val="Calibri"/>
        <family val="2"/>
        <scheme val="minor"/>
      </rPr>
      <t xml:space="preserve">
- Plan A: Premi Yang Belum Digunakan </t>
    </r>
    <r>
      <rPr>
        <i/>
        <sz val="11"/>
        <color theme="1"/>
        <rFont val="Calibri"/>
        <family val="2"/>
        <scheme val="minor"/>
      </rPr>
      <t xml:space="preserve">(Unused Premium)
- </t>
    </r>
    <r>
      <rPr>
        <sz val="11"/>
        <color theme="1"/>
        <rFont val="Calibri"/>
        <family val="2"/>
        <scheme val="minor"/>
      </rPr>
      <t>Plan B &amp; C: Nilai Tunai terbentuk (jika ada)</t>
    </r>
  </si>
  <si>
    <t xml:space="preserve">Nilai Tunai terbentuk + Terminal Bonus (jika ada) </t>
  </si>
  <si>
    <t>Plan A: tidak tersedia
Plan B &amp; C: tersedia</t>
  </si>
  <si>
    <t xml:space="preserve">Tersedia </t>
  </si>
  <si>
    <t>Tidak tersedia</t>
  </si>
  <si>
    <t>MDLA</t>
  </si>
  <si>
    <t>20 tahun</t>
  </si>
  <si>
    <t>30 tahun</t>
  </si>
  <si>
    <t>Plan C</t>
  </si>
  <si>
    <t xml:space="preserve">Full UW </t>
  </si>
  <si>
    <r>
      <t xml:space="preserve">✓ </t>
    </r>
    <r>
      <rPr>
        <b/>
        <sz val="10"/>
        <color rgb="FFFF0000"/>
        <rFont val="Aptos Narrow"/>
        <family val="2"/>
      </rPr>
      <t>(hanya Plan B dan C)</t>
    </r>
  </si>
  <si>
    <t xml:space="preserve">Penebusan Polis </t>
  </si>
  <si>
    <t>Rp5 mio</t>
  </si>
  <si>
    <t>Min. Premi per tahun</t>
  </si>
  <si>
    <r>
      <t xml:space="preserve">✓ </t>
    </r>
    <r>
      <rPr>
        <b/>
        <sz val="9"/>
        <color rgb="FFFF0000"/>
        <rFont val="Aptos Narrow"/>
        <family val="2"/>
      </rPr>
      <t>(Nilai Tunai )</t>
    </r>
  </si>
  <si>
    <t>X-Tra Proteksi Waris</t>
  </si>
  <si>
    <t>Excellence</t>
  </si>
  <si>
    <t>Sekaligus</t>
  </si>
  <si>
    <t>USD 82.536</t>
  </si>
  <si>
    <t>USD 200.000</t>
  </si>
  <si>
    <t>USD 109.576</t>
  </si>
  <si>
    <t>Premi sekaligus</t>
  </si>
  <si>
    <t xml:space="preserve">Premi Tahunan </t>
  </si>
  <si>
    <t>USD 202.000</t>
  </si>
  <si>
    <t>USD 250.000</t>
  </si>
  <si>
    <t>USD 204.000</t>
  </si>
  <si>
    <t>USD 206.000</t>
  </si>
  <si>
    <t>USD 208.000</t>
  </si>
  <si>
    <t>Kenaikan UP</t>
  </si>
  <si>
    <t>USD 300.000</t>
  </si>
  <si>
    <t>USD 210.000</t>
  </si>
  <si>
    <t>USD 350.000</t>
  </si>
  <si>
    <t>USD 370.000</t>
  </si>
  <si>
    <t>USD 390.000</t>
  </si>
  <si>
    <t>USD 400.000</t>
  </si>
  <si>
    <t>USD 40.000</t>
  </si>
  <si>
    <t>Rendah</t>
  </si>
  <si>
    <t>Tinggi</t>
  </si>
  <si>
    <t>Sedang</t>
  </si>
  <si>
    <t>USD 200.613</t>
  </si>
  <si>
    <t>USD 200.720</t>
  </si>
  <si>
    <t>USD 203.030</t>
  </si>
  <si>
    <t>USD 202.863</t>
  </si>
  <si>
    <t>USD 203.020</t>
  </si>
  <si>
    <t>USD 203.383</t>
  </si>
  <si>
    <t>USD 205.781</t>
  </si>
  <si>
    <t>USD 205.259</t>
  </si>
  <si>
    <t>USD 224.000</t>
  </si>
  <si>
    <t>USD 234.000</t>
  </si>
  <si>
    <t>USD 238.000</t>
  </si>
  <si>
    <t>USD 258.000</t>
  </si>
  <si>
    <t>USD 205.523</t>
  </si>
  <si>
    <t>USD 206.231</t>
  </si>
  <si>
    <t>USD 208.739</t>
  </si>
  <si>
    <t>USD 207.815</t>
  </si>
  <si>
    <t>USD 208.137</t>
  </si>
  <si>
    <t>USD 210.493</t>
  </si>
  <si>
    <t>USD 210.884</t>
  </si>
  <si>
    <t>USD 213.313</t>
  </si>
  <si>
    <t>USD 209.309</t>
  </si>
  <si>
    <t>USD 211.951</t>
  </si>
  <si>
    <t>USD 212.671</t>
  </si>
  <si>
    <t>USD 215.478</t>
  </si>
  <si>
    <t>USD 218.000</t>
  </si>
  <si>
    <t>USD 227.601</t>
  </si>
  <si>
    <t>USD 236.704</t>
  </si>
  <si>
    <t>USD 100.000</t>
  </si>
  <si>
    <t>USD 256.005</t>
  </si>
  <si>
    <t>USD 238.669</t>
  </si>
  <si>
    <t>USD 228.000</t>
  </si>
  <si>
    <t>USD 259.219</t>
  </si>
  <si>
    <t>USD 322.945</t>
  </si>
  <si>
    <t>USD 281.309</t>
  </si>
  <si>
    <t>USD397.559</t>
  </si>
  <si>
    <t>USD 308.225</t>
  </si>
  <si>
    <t>USD 518.446</t>
  </si>
  <si>
    <t xml:space="preserve">Rendah </t>
  </si>
  <si>
    <t>USD 504.478</t>
  </si>
  <si>
    <t>USD 1.771.811</t>
  </si>
  <si>
    <t>USD 499.645</t>
  </si>
  <si>
    <t>USD 1.742.128</t>
  </si>
  <si>
    <t>Sekaligus dan 5 tahun</t>
  </si>
  <si>
    <t>Plan Prime, Excellence: USD 200.000
Plan Signature: USD 1.000.000</t>
  </si>
  <si>
    <t>USD 35.000</t>
  </si>
  <si>
    <t>USD 10.000</t>
  </si>
  <si>
    <t>USD 505,75</t>
  </si>
  <si>
    <t>USD 550.000</t>
  </si>
  <si>
    <r>
      <rPr>
        <b/>
        <sz val="16"/>
        <color theme="1"/>
        <rFont val="Calibri"/>
        <family val="2"/>
        <scheme val="minor"/>
      </rPr>
      <t>Feature, Benefit, &amp; Illustration</t>
    </r>
    <r>
      <rPr>
        <b/>
        <sz val="14"/>
        <color theme="1"/>
        <rFont val="Calibri"/>
        <family val="2"/>
        <scheme val="minor"/>
      </rPr>
      <t xml:space="preserve">
Strong Point:
</t>
    </r>
    <r>
      <rPr>
        <sz val="14"/>
        <color theme="1"/>
        <rFont val="Calibri"/>
        <family val="2"/>
        <scheme val="minor"/>
      </rPr>
      <t xml:space="preserve">- Dari segi Manfaat, Heritage+ lebih unggul dibandingkan MDLA karena memiliki Manfaat Tambahan Meninggal Dunia karena Kecelakaan, Manfaat </t>
    </r>
    <r>
      <rPr>
        <i/>
        <sz val="14"/>
        <color theme="1"/>
        <rFont val="Calibri"/>
        <family val="2"/>
        <scheme val="minor"/>
      </rPr>
      <t xml:space="preserve">Terminal Illness, </t>
    </r>
    <r>
      <rPr>
        <sz val="14"/>
        <color theme="1"/>
        <rFont val="Calibri"/>
        <family val="2"/>
        <scheme val="minor"/>
      </rPr>
      <t xml:space="preserve">Manfaat Pemeriksaan Kesehatan. 
- Dari segi Premi dengan ilustrasi yang sama, Premi Heritage+ lebih mahal 18% namun UP Heritage+ bisa meningkat hingga 200% UP sedangkan UP pada MDLA stagnan.
- Heritage+ memiliki mata uang untuk USD, sedangkan MDLA hanya Rupiah saja.
</t>
    </r>
    <r>
      <rPr>
        <b/>
        <sz val="14"/>
        <color theme="1"/>
        <rFont val="Calibri"/>
        <family val="2"/>
        <scheme val="minor"/>
      </rPr>
      <t xml:space="preserve">Weak Point:
</t>
    </r>
    <r>
      <rPr>
        <sz val="14"/>
        <color theme="1"/>
        <rFont val="Calibri"/>
        <family val="2"/>
        <scheme val="minor"/>
      </rPr>
      <t xml:space="preserve">- Premi Heritage+ lebih mahal 18% dibandingkan dengan MDLA.
</t>
    </r>
  </si>
  <si>
    <r>
      <t xml:space="preserve">100% UP + Terminal Bonus (jika ada), dan
</t>
    </r>
    <r>
      <rPr>
        <b/>
        <sz val="11"/>
        <color theme="1"/>
        <rFont val="Calibri"/>
        <family val="2"/>
        <scheme val="minor"/>
      </rPr>
      <t xml:space="preserve">
Manfaat </t>
    </r>
    <r>
      <rPr>
        <b/>
        <i/>
        <sz val="11"/>
        <color theme="1"/>
        <rFont val="Calibri"/>
        <family val="2"/>
        <scheme val="minor"/>
      </rPr>
      <t>Booster</t>
    </r>
    <r>
      <rPr>
        <b/>
        <sz val="11"/>
        <color theme="1"/>
        <rFont val="Calibri"/>
        <family val="2"/>
        <scheme val="minor"/>
      </rPr>
      <t xml:space="preserve"> UP:</t>
    </r>
    <r>
      <rPr>
        <sz val="11"/>
        <color theme="1"/>
        <rFont val="Calibri"/>
        <family val="2"/>
        <scheme val="minor"/>
      </rPr>
      <t xml:space="preserve"> </t>
    </r>
    <r>
      <rPr>
        <i/>
        <sz val="11"/>
        <color theme="1"/>
        <rFont val="Calibri"/>
        <family val="2"/>
        <scheme val="minor"/>
      </rPr>
      <t>booster</t>
    </r>
    <r>
      <rPr>
        <sz val="11"/>
        <color theme="1"/>
        <rFont val="Calibri"/>
        <family val="2"/>
        <scheme val="minor"/>
      </rPr>
      <t xml:space="preserve"> 70% UP dibayarkan saat Tertanggung Meninggal Dunia. (hanya tersedia di Plan Signature)
</t>
    </r>
    <r>
      <rPr>
        <b/>
        <sz val="11"/>
        <color theme="1"/>
        <rFont val="Calibri"/>
        <family val="2"/>
        <scheme val="minor"/>
      </rPr>
      <t xml:space="preserve">
Manfaat Tambahan Uang Pertanggungan: </t>
    </r>
    <r>
      <rPr>
        <sz val="11"/>
        <color theme="1"/>
        <rFont val="Calibri"/>
        <family val="2"/>
        <scheme val="minor"/>
      </rPr>
      <t xml:space="preserve">UP Meningkat sebesar
- </t>
    </r>
    <r>
      <rPr>
        <b/>
        <sz val="11"/>
        <color theme="1"/>
        <rFont val="Calibri"/>
        <family val="2"/>
        <scheme val="minor"/>
      </rPr>
      <t>Plan Prime:</t>
    </r>
    <r>
      <rPr>
        <sz val="11"/>
        <color theme="1"/>
        <rFont val="Calibri"/>
        <family val="2"/>
        <scheme val="minor"/>
      </rPr>
      <t xml:space="preserve">
- </t>
    </r>
    <r>
      <rPr>
        <b/>
        <sz val="11"/>
        <color theme="1"/>
        <rFont val="Calibri"/>
        <family val="2"/>
        <scheme val="minor"/>
      </rPr>
      <t xml:space="preserve">Plan Excellence: </t>
    </r>
    <r>
      <rPr>
        <sz val="11"/>
        <color theme="1"/>
        <rFont val="Calibri"/>
        <family val="2"/>
        <scheme val="minor"/>
      </rPr>
      <t xml:space="preserve">peningkatan UP sebesar 1% setiap dua tahun dimulai dari tahun polis ke-3
- </t>
    </r>
    <r>
      <rPr>
        <b/>
        <sz val="11"/>
        <color theme="1"/>
        <rFont val="Calibri"/>
        <family val="2"/>
        <scheme val="minor"/>
      </rPr>
      <t xml:space="preserve">Plan Signature: peningkatan UP sebesar 3% setiap tahun dimulai dari tahun polis ke-26
</t>
    </r>
    <r>
      <rPr>
        <sz val="11"/>
        <color theme="1"/>
        <rFont val="Calibri"/>
        <family val="2"/>
        <scheme val="minor"/>
      </rPr>
      <t xml:space="preserve">Note: Terminal Bonus adalah bonus berupa nilai tunai tidak dijamin yang diberikan Penanggung.
</t>
    </r>
  </si>
  <si>
    <r>
      <t xml:space="preserve">
</t>
    </r>
    <r>
      <rPr>
        <b/>
        <sz val="11"/>
        <color theme="1"/>
        <rFont val="Calibri"/>
        <family val="2"/>
        <scheme val="minor"/>
      </rPr>
      <t>Manfaat Hidup (khusus Plan Excellence)</t>
    </r>
    <r>
      <rPr>
        <sz val="11"/>
        <color theme="1"/>
        <rFont val="Calibri"/>
        <family val="2"/>
        <scheme val="minor"/>
      </rPr>
      <t xml:space="preserve">: 
- Manfaat </t>
    </r>
    <r>
      <rPr>
        <i/>
        <sz val="11"/>
        <color theme="1"/>
        <rFont val="Calibri"/>
        <family val="2"/>
        <scheme val="minor"/>
      </rPr>
      <t>Longevity Reward:</t>
    </r>
    <r>
      <rPr>
        <sz val="11"/>
        <color theme="1"/>
        <rFont val="Calibri"/>
        <family val="2"/>
        <scheme val="minor"/>
      </rPr>
      <t xml:space="preserve"> 20% UP pada saat Tertanggung mencapai Usia 65 tahun atau akhir tahun Polis ke-20, mana yang terjadi paling akhir.
</t>
    </r>
  </si>
  <si>
    <r>
      <t xml:space="preserve">Strong Point:
</t>
    </r>
    <r>
      <rPr>
        <sz val="16"/>
        <color theme="1"/>
        <rFont val="Calibri"/>
        <family val="2"/>
        <scheme val="minor"/>
      </rPr>
      <t>- Heritage+ memiliki variasi MPP yang lebih banyak. 
- Heritage+ memiliki manfaat asuransi yang lebih lengkap, yaitu Manfaat Tambahan Meninggal Dunia karena Kecelakaan, Manfaat Terminal Illness, dan Manfaat Pemeriksaan Kesehatan.</t>
    </r>
    <r>
      <rPr>
        <b/>
        <sz val="16"/>
        <color theme="1"/>
        <rFont val="Calibri"/>
        <family val="2"/>
        <scheme val="minor"/>
      </rPr>
      <t xml:space="preserve"> 
- </t>
    </r>
    <r>
      <rPr>
        <sz val="16"/>
        <color theme="1"/>
        <rFont val="Calibri"/>
        <family val="2"/>
        <scheme val="minor"/>
      </rPr>
      <t xml:space="preserve">Pergerakan UP Manfaat MD pada Heritage+ lebih tinggi dibandingkan X-Tra Proteksi Waris, UP MD pada Heritage+ baru akan kalah pada Tahun Polis ke-40 (dengan asumsi menggunakan Terminal Bonus Tinggi)
- Nominal Manfaat Hidup Heritage+ lebih tinggi dan lebih cepat didapatkan, pada case ini yaitu pada Usia Tertanggung 60 tahun (Tahun Polis ke-21). Sedangkan X-Tra Proteksi Waris baru didapatkan pada Usia Tertanggung 65 tahun. 
</t>
    </r>
    <r>
      <rPr>
        <b/>
        <sz val="16"/>
        <color theme="1"/>
        <rFont val="Calibri"/>
        <family val="2"/>
        <scheme val="minor"/>
      </rPr>
      <t xml:space="preserve">Weak Point:
</t>
    </r>
    <r>
      <rPr>
        <sz val="16"/>
        <color theme="1"/>
        <rFont val="Calibri"/>
        <family val="2"/>
        <scheme val="minor"/>
      </rPr>
      <t>- Berdasarkan ilustrasi disamping, Premi Heritage+ lebih mahal dibandingkan X-Tra Proteksi Waris.</t>
    </r>
    <r>
      <rPr>
        <b/>
        <sz val="16"/>
        <color theme="1"/>
        <rFont val="Calibri"/>
        <family val="2"/>
        <scheme val="minor"/>
      </rPr>
      <t xml:space="preserve"> 
</t>
    </r>
    <r>
      <rPr>
        <sz val="16"/>
        <color theme="1"/>
        <rFont val="Calibri"/>
        <family val="2"/>
        <scheme val="minor"/>
      </rPr>
      <t xml:space="preserve">- Manfaat Pembebasan Premi (CI) pada X-Tra Proteksi Waris merupakan manfaat basic, bukan rider seperti Heritage+. 
- Nominal Manfaat Akhir Pertanggungan pada X-Tra Proteksi Waris (dengan asumsi Terminal Bonus Tinggi dan Sedang) lebih besar dibandingkan Heritage+.
</t>
    </r>
    <r>
      <rPr>
        <b/>
        <sz val="16"/>
        <color theme="1"/>
        <rFont val="Calibri"/>
        <family val="2"/>
        <scheme val="minor"/>
      </rPr>
      <t xml:space="preserve">
</t>
    </r>
  </si>
  <si>
    <t>AlliSya Legacy Max</t>
  </si>
  <si>
    <t>Asuransi Jiwa Dwiguna Kombinasi</t>
  </si>
  <si>
    <t>Agency, Direct Marketing</t>
  </si>
  <si>
    <t>Hingga Tertanggung berusia 120 tahun</t>
  </si>
  <si>
    <t xml:space="preserve">Sekaligus, 5, 10, atau 15 tahun </t>
  </si>
  <si>
    <t>Tahunan</t>
  </si>
  <si>
    <t>- MPP Sekaligus atau 5 tahun: 1 bulan - 70 tahun
- MPP 10 tahun: 1 bulan - 65 tahun
- MPP 15 tahun: 1 bulan - 59 tahun</t>
  </si>
  <si>
    <r>
      <t xml:space="preserve">100% UP
</t>
    </r>
    <r>
      <rPr>
        <i/>
        <sz val="11"/>
        <color theme="1"/>
        <rFont val="Calibri"/>
        <family val="2"/>
        <scheme val="minor"/>
      </rPr>
      <t xml:space="preserve">Booster </t>
    </r>
    <r>
      <rPr>
        <sz val="11"/>
        <color theme="1"/>
        <rFont val="Calibri"/>
        <family val="2"/>
        <scheme val="minor"/>
      </rPr>
      <t>UP:
- penambahan sebesar 10% UP setiap 10 tahun Polis
- dimulai dari awal Tahun Polis ke-15 atau Tahun Polis ke-25 (bergantung pada Usia Pihak Yang Diasuransi pada Tanggal Polis Mulai berlaku), maksimum 50% UP</t>
    </r>
  </si>
  <si>
    <t>Benefit Comparison</t>
  </si>
  <si>
    <t>Jenis Produk</t>
  </si>
  <si>
    <t>Dwiguna Tradisional Syariah</t>
  </si>
  <si>
    <t>Sekaligus, 2, 5,10, atau 15 tahun</t>
  </si>
  <si>
    <t>Sekaligus, 5,10, atau 15 tahun</t>
  </si>
  <si>
    <t>hingga 120 tahun</t>
  </si>
  <si>
    <t>Uang Pertanggungan</t>
  </si>
  <si>
    <t>Min. Rp500 juta</t>
  </si>
  <si>
    <t>Min.Rp200 juta</t>
  </si>
  <si>
    <t>Premi</t>
  </si>
  <si>
    <t>Rupiah &amp; USD</t>
  </si>
  <si>
    <t>Min. Rp4.515.000</t>
  </si>
  <si>
    <t>Product Information</t>
  </si>
  <si>
    <t>Tersedia (berupa percentage Nilai Tebus)</t>
  </si>
  <si>
    <t>Tersedia 
a. Nilai Tebus yang dibayarkan dari Dana Tabarru' -&gt; menggunakan formula
b. Nilai Tebus yang dibayarkan dari Dana Tanahud -&gt; sebesar Nilai Manfaat Hidup yang telah dikurangi Penarikan Dana (jika ada)</t>
  </si>
  <si>
    <t>Premium Comparison</t>
  </si>
  <si>
    <t>Premi per Tahun</t>
  </si>
  <si>
    <t>15 tahun</t>
  </si>
  <si>
    <t>Tahun Polis</t>
  </si>
  <si>
    <r>
      <t xml:space="preserve">Berupa ROP yang dibayarkan pada Tanggal Akhir Asuransi sebesar:
Apabila Peserta memenuhi "Persyaratan Yang Ditentukan", maka akan dibayarkan 2x dari percentage di atas.
Namun Peserta dapat melakukan penarikan manfaat dari Dana Tanahud, dengan ketentuan sbb:
</t>
    </r>
    <r>
      <rPr>
        <b/>
        <sz val="10"/>
        <color theme="1"/>
        <rFont val="Calibri"/>
        <family val="2"/>
        <scheme val="minor"/>
      </rPr>
      <t xml:space="preserve">
Note:</t>
    </r>
    <r>
      <rPr>
        <sz val="10"/>
        <color theme="1"/>
        <rFont val="Calibri"/>
        <family val="2"/>
        <scheme val="minor"/>
      </rPr>
      <t xml:space="preserve"> 
- Jumlah Penarikan Dana Tanahud tidak boleh melebihi Nilai Manfaat Hidup
- Penarikan Dana Tanahud akan mengurangi Manfaat Hidup namun tidak mengurani Manfaat Meninggal Dunia.</t>
    </r>
  </si>
  <si>
    <r>
      <t xml:space="preserve">100% Santunan Asuransi + </t>
    </r>
    <r>
      <rPr>
        <i/>
        <sz val="10"/>
        <color theme="1"/>
        <rFont val="Calibri"/>
        <family val="2"/>
        <scheme val="minor"/>
      </rPr>
      <t xml:space="preserve">Booster </t>
    </r>
    <r>
      <rPr>
        <sz val="10"/>
        <color theme="1"/>
        <rFont val="Calibri"/>
        <family val="2"/>
        <scheme val="minor"/>
      </rPr>
      <t xml:space="preserve">SA 
Booster SA adalah penambahan sebesar 10% dari SA setiap 10 Tahun Polis berdasarkan:
</t>
    </r>
    <r>
      <rPr>
        <b/>
        <sz val="10"/>
        <color theme="1"/>
        <rFont val="Calibri"/>
        <family val="2"/>
        <scheme val="minor"/>
      </rPr>
      <t xml:space="preserve">Note: </t>
    </r>
    <r>
      <rPr>
        <sz val="10"/>
        <color theme="1"/>
        <rFont val="Calibri"/>
        <family val="2"/>
        <scheme val="minor"/>
      </rPr>
      <t xml:space="preserve">
- batas maksimum </t>
    </r>
    <r>
      <rPr>
        <i/>
        <sz val="10"/>
        <color theme="1"/>
        <rFont val="Calibri"/>
        <family val="2"/>
        <scheme val="minor"/>
      </rPr>
      <t xml:space="preserve">booster </t>
    </r>
    <r>
      <rPr>
        <sz val="10"/>
        <color theme="1"/>
        <rFont val="Calibri"/>
        <family val="2"/>
        <scheme val="minor"/>
      </rPr>
      <t>SA adalah 50% dari SA awal untuk Asuransi Dasar</t>
    </r>
  </si>
  <si>
    <t>Sebesar Nilai Manfaat Hidup dikurangi Penarikan Dana Tanahud (jika ada)</t>
  </si>
  <si>
    <t>Summary</t>
  </si>
  <si>
    <t>Seumur Hidup Kombinasi</t>
  </si>
  <si>
    <t>BCA Life - Heritage+</t>
  </si>
  <si>
    <t>Allianz - AlliSya Legacy Max</t>
  </si>
  <si>
    <r>
      <t xml:space="preserve">Manfaat </t>
    </r>
    <r>
      <rPr>
        <b/>
        <i/>
        <sz val="11"/>
        <rFont val="Calibri"/>
        <family val="2"/>
        <scheme val="minor"/>
      </rPr>
      <t>Terminal Illness</t>
    </r>
  </si>
  <si>
    <r>
      <t xml:space="preserve">Asuransi Tambahan </t>
    </r>
    <r>
      <rPr>
        <b/>
        <i/>
        <sz val="11"/>
        <rFont val="Calibri"/>
        <family val="2"/>
        <scheme val="minor"/>
      </rPr>
      <t>(Riders)</t>
    </r>
  </si>
  <si>
    <r>
      <t xml:space="preserve">1. Secara total Premi, Heritage+ lebih murah 3% dibandingkan AlliSya Legacy Max. 
2. Benefit yang ditawarkan Heritage+ lebih lengkap yaitu terdapat Manfaat TI, Manfaat Tambahan MD karena Kecelakaan, dan MCU, yang mana tidak dimiliki oleh produk AlliSya Legacy Max
3. Secara benefit MD yang didapatkan di produk Heritage+ lebih tinggi karena percentage kenaikan hingga 200%, sedangkan kenaikan AlliSya maks. 150%, dengan kenaikan 10% setiap 10 tahun yang dimulai dari tahun Polis ke-15 atau ke-25, sesuai dgn Usia Masuk.
4. Untuk Manfaat Akhir Masa Pertanggungan, Heritage+ lebih unggul karena berupa 200% UP sedangkan AlliSya Legacy Max nilainya sama dengan Manfaat Hidup.
</t>
    </r>
    <r>
      <rPr>
        <b/>
        <sz val="14"/>
        <color theme="1"/>
        <rFont val="Calibri"/>
        <family val="2"/>
        <scheme val="minor"/>
      </rPr>
      <t xml:space="preserve">Conclusion: </t>
    </r>
    <r>
      <rPr>
        <b/>
        <sz val="14"/>
        <color rgb="FF00B050"/>
        <rFont val="Calibri"/>
        <family val="2"/>
        <scheme val="minor"/>
      </rPr>
      <t>Secara keseluruhan, Heritage+ lebih unggul dibandingkan AlliSya Legacy Max.</t>
    </r>
    <r>
      <rPr>
        <b/>
        <sz val="14"/>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</si>
</sst>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Rp&quot;#,##0;[Red]\-&quot;Rp&quot;#,##0"/>
    <numFmt numFmtId="43" formatCode="_-* #,##0.00_-;\-* #,##0.00_-;_-* &quot;-&quot;??_-;_-@_-"/>
    <numFmt numFmtId="164" formatCode="_(* #,##0.00_);_(* \(#,##0.00\);_(* &quot;-&quot;??_);_(@_)"/>
    <numFmt numFmtId="165" formatCode="&quot;Rp&quot;#,##0.00"/>
    <numFmt numFmtId="166" formatCode="0.0%"/>
    <numFmt numFmtId="167" formatCode="_(* #,##0.0_);_(* \(#,##0.0\);_(* &quot;-&quot;??_);_(@_)"/>
    <numFmt numFmtId="168" formatCode="0.000"/>
    <numFmt numFmtId="169" formatCode="&quot;Rp&quot;#,##0"/>
  </numFmts>
  <fonts count="46" x14ac:knownFonts="1">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b/>
      <i/>
      <sz val="12"/>
      <color theme="0"/>
      <name val="Calibri"/>
      <family val="2"/>
      <scheme val="minor"/>
    </font>
    <font>
      <i/>
      <sz val="11"/>
      <color theme="1"/>
      <name val="Calibri"/>
      <family val="2"/>
      <scheme val="minor"/>
    </font>
    <font>
      <b/>
      <sz val="11"/>
      <name val="Calibri"/>
      <family val="2"/>
      <scheme val="minor"/>
    </font>
    <font>
      <sz val="11"/>
      <color theme="1"/>
      <name val="Calibri"/>
      <family val="2"/>
    </font>
    <font>
      <sz val="11"/>
      <color theme="1"/>
      <name val="Aptos Narrow"/>
      <family val="2"/>
    </font>
    <font>
      <b/>
      <sz val="11"/>
      <color theme="1"/>
      <name val="Aptos Narrow"/>
      <family val="2"/>
    </font>
    <font>
      <sz val="11"/>
      <color theme="1"/>
      <name val="Calibri"/>
      <family val="2"/>
      <scheme val="minor"/>
    </font>
    <font>
      <sz val="10"/>
      <name val="Arial"/>
      <family val="2"/>
    </font>
    <font>
      <b/>
      <sz val="10"/>
      <color theme="0"/>
      <name val="Calibri Light"/>
      <family val="2"/>
      <scheme val="major"/>
    </font>
    <font>
      <sz val="10"/>
      <color rgb="FFFF0000"/>
      <name val="Arial"/>
      <family val="2"/>
    </font>
    <font>
      <b/>
      <sz val="9"/>
      <color indexed="81"/>
      <name val="Tahoma"/>
      <family val="2"/>
    </font>
    <font>
      <sz val="9"/>
      <color indexed="81"/>
      <name val="Tahoma"/>
      <family val="2"/>
    </font>
    <font>
      <b/>
      <sz val="14"/>
      <color theme="1"/>
      <name val="Calibri"/>
      <family val="2"/>
      <scheme val="minor"/>
    </font>
    <font>
      <sz val="14"/>
      <color theme="1"/>
      <name val="Calibri"/>
      <family val="2"/>
      <scheme val="minor"/>
    </font>
    <font>
      <i/>
      <sz val="14"/>
      <color theme="1"/>
      <name val="Calibri"/>
      <family val="2"/>
      <scheme val="minor"/>
    </font>
    <font>
      <sz val="12"/>
      <color theme="1"/>
      <name val="Calibri"/>
      <family val="2"/>
      <scheme val="minor"/>
    </font>
    <font>
      <sz val="11"/>
      <color rgb="FFFF0000"/>
      <name val="Calibri"/>
      <family val="2"/>
      <scheme val="minor"/>
    </font>
    <font>
      <b/>
      <sz val="18"/>
      <color rgb="FFFF0000"/>
      <name val="Aptos Narrow"/>
      <family val="2"/>
    </font>
    <font>
      <b/>
      <sz val="20"/>
      <color theme="1"/>
      <name val="Calibri"/>
      <family val="2"/>
      <scheme val="minor"/>
    </font>
    <font>
      <b/>
      <sz val="14"/>
      <name val="Calibri"/>
      <family val="2"/>
      <scheme val="minor"/>
    </font>
    <font>
      <b/>
      <sz val="14"/>
      <color theme="0"/>
      <name val="Calibri"/>
      <family val="2"/>
      <scheme val="minor"/>
    </font>
    <font>
      <b/>
      <sz val="18"/>
      <color rgb="FFFF0000"/>
      <name val="Aptos Narrow"/>
      <family val="2"/>
    </font>
    <font>
      <b/>
      <sz val="16"/>
      <color theme="1"/>
      <name val="Calibri"/>
      <family val="2"/>
      <scheme val="minor"/>
    </font>
    <font>
      <b/>
      <sz val="16"/>
      <name val="Calibri"/>
      <family val="2"/>
      <scheme val="minor"/>
    </font>
    <font>
      <sz val="16"/>
      <color theme="1"/>
      <name val="Calibri"/>
      <family val="2"/>
      <scheme val="minor"/>
    </font>
    <font>
      <b/>
      <sz val="16"/>
      <color rgb="FFFF0000"/>
      <name val="Calibri"/>
      <family val="2"/>
      <scheme val="minor"/>
    </font>
    <font>
      <b/>
      <sz val="14"/>
      <color rgb="FFFF0000"/>
      <name val="Calibri"/>
      <family val="2"/>
      <scheme val="minor"/>
    </font>
    <font>
      <i/>
      <sz val="16"/>
      <color theme="1"/>
      <name val="Calibri"/>
      <family val="2"/>
      <scheme val="minor"/>
    </font>
    <font>
      <sz val="16"/>
      <name val="Calibri"/>
      <family val="2"/>
      <scheme val="minor"/>
    </font>
    <font>
      <b/>
      <sz val="10"/>
      <color rgb="FFFF0000"/>
      <name val="Aptos Narrow"/>
      <family val="2"/>
    </font>
    <font>
      <b/>
      <sz val="14"/>
      <color rgb="FFFF0000"/>
      <name val="Aptos Narrow"/>
      <family val="2"/>
    </font>
    <font>
      <b/>
      <i/>
      <sz val="11"/>
      <color theme="1"/>
      <name val="Calibri"/>
      <family val="2"/>
      <scheme val="minor"/>
    </font>
    <font>
      <b/>
      <sz val="9"/>
      <color rgb="FFFF0000"/>
      <name val="Aptos Narrow"/>
      <family val="2"/>
    </font>
    <font>
      <sz val="8"/>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name val="Calibri"/>
      <family val="2"/>
      <scheme val="minor"/>
    </font>
    <font>
      <i/>
      <sz val="10"/>
      <color theme="1"/>
      <name val="Calibri"/>
      <family val="2"/>
      <scheme val="minor"/>
    </font>
    <font>
      <b/>
      <i/>
      <sz val="11"/>
      <name val="Calibri"/>
      <family val="2"/>
      <scheme val="minor"/>
    </font>
    <font>
      <sz val="11"/>
      <color indexed="81"/>
      <name val="Tahoma"/>
      <family val="2"/>
    </font>
    <font>
      <b/>
      <sz val="14"/>
      <color rgb="FF00B050"/>
      <name val="Calibri"/>
      <family val="2"/>
      <scheme val="minor"/>
    </font>
  </fonts>
  <fills count="28">
    <fill>
      <patternFill patternType="none"/>
    </fill>
    <fill>
      <patternFill patternType="gray125"/>
    </fill>
    <fill>
      <patternFill patternType="solid">
        <fgColor rgb="FF002060"/>
        <bgColor indexed="64"/>
      </patternFill>
    </fill>
    <fill>
      <patternFill patternType="solid">
        <fgColor theme="1"/>
        <bgColor indexed="64"/>
      </patternFill>
    </fill>
    <fill>
      <patternFill patternType="solid">
        <fgColor rgb="FF00B050"/>
        <bgColor indexed="64"/>
      </patternFill>
    </fill>
    <fill>
      <patternFill patternType="solid">
        <fgColor rgb="FFFF0000"/>
        <bgColor indexed="64"/>
      </patternFill>
    </fill>
    <fill>
      <patternFill patternType="solid">
        <fgColor rgb="FFC00000"/>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theme="7"/>
        <bgColor indexed="64"/>
      </patternFill>
    </fill>
    <fill>
      <patternFill patternType="solid">
        <fgColor theme="4"/>
        <bgColor indexed="64"/>
      </patternFill>
    </fill>
    <fill>
      <patternFill patternType="solid">
        <fgColor rgb="FFFFFF00"/>
        <bgColor indexed="64"/>
      </patternFill>
    </fill>
    <fill>
      <patternFill patternType="solid">
        <fgColor theme="4" tint="0.79998168889431442"/>
        <bgColor indexed="64"/>
      </patternFill>
    </fill>
    <fill>
      <patternFill patternType="solid">
        <fgColor theme="2"/>
        <bgColor indexed="64"/>
      </patternFill>
    </fill>
    <fill>
      <patternFill patternType="solid">
        <fgColor rgb="FF92D050"/>
        <bgColor indexed="64"/>
      </patternFill>
    </fill>
    <fill>
      <patternFill patternType="solid">
        <fgColor rgb="FFFFCCCC"/>
        <bgColor indexed="64"/>
      </patternFill>
    </fill>
    <fill>
      <patternFill patternType="solid">
        <fgColor rgb="FF404041"/>
        <bgColor indexed="64"/>
      </patternFill>
    </fill>
    <fill>
      <patternFill patternType="solid">
        <fgColor theme="0"/>
        <bgColor indexed="64"/>
      </patternFill>
    </fill>
    <fill>
      <patternFill patternType="solid">
        <fgColor rgb="FFD53C29"/>
        <bgColor indexed="64"/>
      </patternFill>
    </fill>
    <fill>
      <patternFill patternType="solid">
        <fgColor rgb="FF007EBB"/>
        <bgColor indexed="64"/>
      </patternFill>
    </fill>
    <fill>
      <patternFill patternType="solid">
        <fgColor rgb="FFD4D6D7"/>
        <bgColor indexed="64"/>
      </patternFill>
    </fill>
    <fill>
      <patternFill patternType="solid">
        <fgColor theme="3" tint="0.79998168889431442"/>
        <bgColor indexed="64"/>
      </patternFill>
    </fill>
    <fill>
      <patternFill patternType="solid">
        <fgColor rgb="FFFFC000"/>
        <bgColor indexed="64"/>
      </patternFill>
    </fill>
    <fill>
      <patternFill patternType="solid">
        <fgColor theme="6" tint="0.39997558519241921"/>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4" tint="-0.249977111117893"/>
        <bgColor indexed="64"/>
      </patternFill>
    </fill>
    <fill>
      <patternFill patternType="solid">
        <fgColor theme="5" tint="0.39997558519241921"/>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s>
  <cellStyleXfs count="5">
    <xf numFmtId="0" fontId="0" fillId="0" borderId="0"/>
    <xf numFmtId="43" fontId="10" fillId="0" borderId="0" applyFont="0" applyFill="0" applyBorder="0" applyAlignment="0" applyProtection="0"/>
    <xf numFmtId="9" fontId="10" fillId="0" borderId="0" applyFont="0" applyFill="0" applyBorder="0" applyAlignment="0" applyProtection="0"/>
    <xf numFmtId="0" fontId="11" fillId="0" borderId="0"/>
    <xf numFmtId="164" fontId="11" fillId="0" borderId="0" applyFont="0" applyFill="0" applyBorder="0" applyAlignment="0" applyProtection="0"/>
  </cellStyleXfs>
  <cellXfs count="534">
    <xf numFmtId="0" fontId="0" fillId="0" borderId="0" xfId="0"/>
    <xf numFmtId="0" fontId="0" fillId="0" borderId="0" xfId="0" applyAlignment="1">
      <alignment vertical="center"/>
    </xf>
    <xf numFmtId="0" fontId="3" fillId="7" borderId="1" xfId="0" applyFont="1" applyFill="1" applyBorder="1" applyAlignment="1">
      <alignment vertical="center"/>
    </xf>
    <xf numFmtId="0" fontId="3" fillId="7" borderId="1" xfId="0" applyFont="1" applyFill="1" applyBorder="1" applyAlignment="1">
      <alignment vertical="center" wrapText="1"/>
    </xf>
    <xf numFmtId="0" fontId="3" fillId="7" borderId="1" xfId="0" applyFont="1" applyFill="1" applyBorder="1" applyAlignment="1">
      <alignment horizontal="left" vertical="center"/>
    </xf>
    <xf numFmtId="0" fontId="3" fillId="7" borderId="1" xfId="0" applyFont="1" applyFill="1" applyBorder="1" applyAlignment="1">
      <alignment horizontal="left" vertical="center" wrapText="1"/>
    </xf>
    <xf numFmtId="0" fontId="3" fillId="7" borderId="2" xfId="0" applyFont="1" applyFill="1" applyBorder="1" applyAlignment="1">
      <alignment horizontal="left" vertical="center"/>
    </xf>
    <xf numFmtId="0" fontId="1" fillId="2" borderId="0" xfId="0" applyFont="1" applyFill="1"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3" xfId="0" applyBorder="1" applyAlignment="1">
      <alignment horizontal="center" vertical="center"/>
    </xf>
    <xf numFmtId="0" fontId="0" fillId="0" borderId="0" xfId="0" applyAlignment="1">
      <alignment horizontal="center" vertical="center" wrapText="1"/>
    </xf>
    <xf numFmtId="0" fontId="0" fillId="0" borderId="0" xfId="0" quotePrefix="1" applyAlignment="1">
      <alignment horizontal="center" vertical="center" wrapText="1"/>
    </xf>
    <xf numFmtId="0" fontId="1" fillId="6" borderId="0" xfId="0" applyFont="1" applyFill="1" applyAlignment="1">
      <alignment horizontal="center" vertical="center"/>
    </xf>
    <xf numFmtId="0" fontId="0" fillId="8" borderId="3" xfId="0" applyFill="1" applyBorder="1" applyAlignment="1">
      <alignment horizontal="center" vertical="center"/>
    </xf>
    <xf numFmtId="0" fontId="0" fillId="0" borderId="0" xfId="0" quotePrefix="1" applyAlignment="1">
      <alignment horizontal="center" wrapText="1"/>
    </xf>
    <xf numFmtId="0" fontId="1" fillId="5" borderId="0" xfId="0" applyFont="1" applyFill="1" applyAlignment="1">
      <alignment horizontal="center" vertical="center"/>
    </xf>
    <xf numFmtId="0" fontId="6" fillId="9" borderId="0" xfId="0" applyFont="1" applyFill="1" applyAlignment="1">
      <alignment horizontal="center" vertical="center"/>
    </xf>
    <xf numFmtId="0" fontId="1" fillId="4" borderId="0" xfId="0" applyFont="1" applyFill="1" applyAlignment="1">
      <alignment horizontal="center" vertical="center"/>
    </xf>
    <xf numFmtId="0" fontId="3" fillId="7" borderId="0" xfId="0" applyFont="1" applyFill="1" applyAlignment="1">
      <alignment horizontal="left" vertical="center"/>
    </xf>
    <xf numFmtId="0" fontId="0" fillId="0" borderId="0" xfId="0" applyAlignment="1">
      <alignment horizontal="center" vertical="top"/>
    </xf>
    <xf numFmtId="0" fontId="1" fillId="10" borderId="0" xfId="0" applyFont="1" applyFill="1" applyAlignment="1">
      <alignment horizontal="center"/>
    </xf>
    <xf numFmtId="0" fontId="5" fillId="0" borderId="0" xfId="0" quotePrefix="1" applyFont="1" applyAlignment="1">
      <alignment horizontal="left" vertical="center" wrapText="1"/>
    </xf>
    <xf numFmtId="0" fontId="0" fillId="0" borderId="0" xfId="0" applyAlignment="1">
      <alignment horizontal="left" vertical="top" wrapText="1"/>
    </xf>
    <xf numFmtId="0" fontId="0" fillId="0" borderId="0" xfId="0" applyAlignment="1">
      <alignment vertical="center" wrapText="1"/>
    </xf>
    <xf numFmtId="0" fontId="0" fillId="0" borderId="0" xfId="0" applyAlignment="1">
      <alignment wrapText="1"/>
    </xf>
    <xf numFmtId="0" fontId="0" fillId="0" borderId="0" xfId="0" applyAlignment="1">
      <alignment horizontal="left" vertical="center" wrapText="1"/>
    </xf>
    <xf numFmtId="0" fontId="0" fillId="11" borderId="0" xfId="0" applyFill="1" applyAlignment="1">
      <alignment horizontal="center" vertical="center"/>
    </xf>
    <xf numFmtId="165" fontId="0" fillId="0" borderId="0" xfId="0" applyNumberFormat="1"/>
    <xf numFmtId="0" fontId="0" fillId="17" borderId="0" xfId="0" applyFill="1"/>
    <xf numFmtId="0" fontId="1" fillId="16" borderId="8" xfId="0" applyFont="1" applyFill="1" applyBorder="1" applyAlignment="1" applyProtection="1">
      <alignment vertical="center"/>
      <protection locked="0"/>
    </xf>
    <xf numFmtId="0" fontId="1" fillId="16" borderId="9" xfId="0" applyFont="1" applyFill="1" applyBorder="1" applyAlignment="1" applyProtection="1">
      <alignment vertical="center"/>
      <protection locked="0"/>
    </xf>
    <xf numFmtId="0" fontId="1" fillId="18" borderId="0" xfId="0" applyFont="1" applyFill="1"/>
    <xf numFmtId="0" fontId="12" fillId="19" borderId="11" xfId="3" applyFont="1" applyFill="1" applyBorder="1" applyAlignment="1">
      <alignment horizontal="center" wrapText="1"/>
    </xf>
    <xf numFmtId="9" fontId="12" fillId="19" borderId="11" xfId="3" applyNumberFormat="1" applyFont="1" applyFill="1" applyBorder="1" applyAlignment="1">
      <alignment horizontal="center" wrapText="1"/>
    </xf>
    <xf numFmtId="0" fontId="0" fillId="17" borderId="3" xfId="0" applyFill="1" applyBorder="1"/>
    <xf numFmtId="2" fontId="0" fillId="17" borderId="3" xfId="0" applyNumberFormat="1" applyFill="1" applyBorder="1"/>
    <xf numFmtId="9" fontId="0" fillId="20" borderId="3" xfId="2" applyFont="1" applyFill="1" applyBorder="1"/>
    <xf numFmtId="166" fontId="13" fillId="17" borderId="0" xfId="2" applyNumberFormat="1" applyFont="1" applyFill="1"/>
    <xf numFmtId="2" fontId="0" fillId="17" borderId="0" xfId="2" applyNumberFormat="1" applyFont="1" applyFill="1"/>
    <xf numFmtId="9" fontId="0" fillId="17" borderId="0" xfId="2" applyFont="1" applyFill="1"/>
    <xf numFmtId="167" fontId="0" fillId="17" borderId="0" xfId="1" applyNumberFormat="1" applyFont="1" applyFill="1"/>
    <xf numFmtId="2" fontId="0" fillId="17" borderId="0" xfId="0" applyNumberFormat="1" applyFill="1"/>
    <xf numFmtId="168" fontId="0" fillId="17" borderId="3" xfId="0" applyNumberFormat="1" applyFill="1" applyBorder="1"/>
    <xf numFmtId="168" fontId="0" fillId="17" borderId="6" xfId="0" applyNumberFormat="1" applyFill="1" applyBorder="1"/>
    <xf numFmtId="2" fontId="0" fillId="20" borderId="3" xfId="0" applyNumberFormat="1" applyFill="1" applyBorder="1"/>
    <xf numFmtId="0" fontId="0" fillId="17" borderId="12" xfId="0" applyFill="1" applyBorder="1"/>
    <xf numFmtId="0" fontId="0" fillId="17" borderId="2" xfId="0" applyFill="1" applyBorder="1"/>
    <xf numFmtId="0" fontId="0" fillId="17" borderId="13" xfId="0" applyFill="1" applyBorder="1"/>
    <xf numFmtId="2" fontId="0" fillId="21" borderId="3" xfId="0" applyNumberFormat="1" applyFill="1" applyBorder="1"/>
    <xf numFmtId="167" fontId="0" fillId="17" borderId="0" xfId="4" applyNumberFormat="1" applyFont="1" applyFill="1"/>
    <xf numFmtId="9" fontId="0" fillId="0" borderId="0" xfId="2" applyFont="1"/>
    <xf numFmtId="0" fontId="0" fillId="0" borderId="0" xfId="0" quotePrefix="1" applyAlignment="1">
      <alignment vertical="top" wrapText="1"/>
    </xf>
    <xf numFmtId="0" fontId="19" fillId="0" borderId="0" xfId="0" applyFont="1"/>
    <xf numFmtId="0" fontId="19" fillId="13" borderId="1" xfId="0" applyFont="1" applyFill="1" applyBorder="1"/>
    <xf numFmtId="0" fontId="19" fillId="0" borderId="0" xfId="0" applyFont="1" applyAlignment="1">
      <alignment horizontal="center"/>
    </xf>
    <xf numFmtId="3" fontId="0" fillId="0" borderId="0" xfId="0" applyNumberFormat="1" applyAlignment="1">
      <alignment horizontal="center" vertical="center"/>
    </xf>
    <xf numFmtId="0" fontId="1" fillId="2" borderId="0" xfId="0" applyFont="1" applyFill="1" applyAlignment="1">
      <alignment horizontal="center" vertical="center"/>
    </xf>
    <xf numFmtId="9" fontId="19" fillId="0" borderId="0" xfId="2" applyFont="1"/>
    <xf numFmtId="0" fontId="0" fillId="0" borderId="0" xfId="0" applyAlignment="1">
      <alignment vertical="top" wrapText="1"/>
    </xf>
    <xf numFmtId="0" fontId="0" fillId="0" borderId="0" xfId="0" applyAlignment="1">
      <alignment vertical="top"/>
    </xf>
    <xf numFmtId="165" fontId="13" fillId="17" borderId="0" xfId="2" applyNumberFormat="1" applyFont="1" applyFill="1"/>
    <xf numFmtId="0" fontId="20" fillId="17" borderId="0" xfId="0" applyFont="1" applyFill="1"/>
    <xf numFmtId="165" fontId="20" fillId="17" borderId="0" xfId="2" applyNumberFormat="1" applyFont="1" applyFill="1"/>
    <xf numFmtId="9" fontId="20" fillId="17" borderId="0" xfId="2" applyFont="1" applyFill="1"/>
    <xf numFmtId="0" fontId="17" fillId="0" borderId="0" xfId="0" applyFont="1"/>
    <xf numFmtId="0" fontId="17" fillId="0" borderId="0" xfId="0" applyFont="1" applyAlignment="1">
      <alignment vertical="center"/>
    </xf>
    <xf numFmtId="0" fontId="17" fillId="0" borderId="0" xfId="0" quotePrefix="1" applyFont="1" applyAlignment="1">
      <alignment vertical="top" wrapText="1"/>
    </xf>
    <xf numFmtId="0" fontId="16" fillId="0" borderId="0" xfId="0" applyFont="1"/>
    <xf numFmtId="0" fontId="17" fillId="13" borderId="1" xfId="0" applyFont="1" applyFill="1" applyBorder="1" applyAlignment="1">
      <alignment horizontal="left" vertical="center"/>
    </xf>
    <xf numFmtId="0" fontId="16" fillId="13" borderId="1" xfId="0" applyFont="1" applyFill="1" applyBorder="1" applyAlignment="1">
      <alignment horizontal="left" vertical="center"/>
    </xf>
    <xf numFmtId="0" fontId="21" fillId="0" borderId="1" xfId="0" applyFont="1" applyBorder="1" applyAlignment="1">
      <alignment horizontal="center" vertical="center"/>
    </xf>
    <xf numFmtId="0" fontId="22" fillId="0" borderId="1" xfId="0" applyFont="1" applyBorder="1" applyAlignment="1">
      <alignment horizontal="center" vertical="center"/>
    </xf>
    <xf numFmtId="0" fontId="17" fillId="13" borderId="1" xfId="0" applyFont="1" applyFill="1" applyBorder="1" applyAlignment="1">
      <alignment horizontal="center"/>
    </xf>
    <xf numFmtId="165" fontId="17" fillId="0" borderId="1" xfId="0" applyNumberFormat="1" applyFont="1" applyBorder="1"/>
    <xf numFmtId="0" fontId="17" fillId="0" borderId="1" xfId="0" applyFont="1" applyBorder="1" applyAlignment="1">
      <alignment horizontal="center"/>
    </xf>
    <xf numFmtId="0" fontId="17" fillId="0" borderId="1" xfId="0" applyFont="1" applyBorder="1" applyAlignment="1">
      <alignment horizontal="right"/>
    </xf>
    <xf numFmtId="0" fontId="17" fillId="0" borderId="1" xfId="0" applyFont="1" applyBorder="1" applyAlignment="1">
      <alignment horizontal="center" vertical="center"/>
    </xf>
    <xf numFmtId="165" fontId="17" fillId="0" borderId="1" xfId="0" applyNumberFormat="1" applyFont="1" applyBorder="1" applyAlignment="1">
      <alignment vertical="center"/>
    </xf>
    <xf numFmtId="0" fontId="17" fillId="0" borderId="1" xfId="0" applyFont="1" applyBorder="1" applyAlignment="1">
      <alignment vertical="center"/>
    </xf>
    <xf numFmtId="0" fontId="17" fillId="0" borderId="1" xfId="0" applyFont="1" applyBorder="1" applyAlignment="1">
      <alignment horizontal="right" vertical="center"/>
    </xf>
    <xf numFmtId="165" fontId="17" fillId="0" borderId="1" xfId="0" applyNumberFormat="1" applyFont="1" applyBorder="1" applyAlignment="1">
      <alignment horizontal="right" vertical="center"/>
    </xf>
    <xf numFmtId="165" fontId="17" fillId="11" borderId="1" xfId="0" applyNumberFormat="1" applyFont="1" applyFill="1" applyBorder="1" applyAlignment="1">
      <alignment vertical="center"/>
    </xf>
    <xf numFmtId="165" fontId="17" fillId="14" borderId="1" xfId="0" applyNumberFormat="1" applyFont="1" applyFill="1" applyBorder="1" applyAlignment="1">
      <alignment vertical="center"/>
    </xf>
    <xf numFmtId="0" fontId="16" fillId="0" borderId="1" xfId="0" applyFont="1" applyBorder="1" applyAlignment="1">
      <alignment vertical="center" wrapText="1"/>
    </xf>
    <xf numFmtId="165" fontId="16" fillId="14" borderId="1" xfId="0" applyNumberFormat="1" applyFont="1" applyFill="1" applyBorder="1" applyAlignment="1">
      <alignment vertical="center"/>
    </xf>
    <xf numFmtId="0" fontId="17" fillId="13" borderId="1" xfId="0" applyFont="1" applyFill="1" applyBorder="1" applyAlignment="1">
      <alignment horizontal="left" vertical="top"/>
    </xf>
    <xf numFmtId="0" fontId="17" fillId="0" borderId="1" xfId="0" applyFont="1" applyBorder="1" applyAlignment="1">
      <alignment horizontal="right" wrapText="1"/>
    </xf>
    <xf numFmtId="0" fontId="17" fillId="13" borderId="1" xfId="0" applyFont="1" applyFill="1" applyBorder="1" applyAlignment="1">
      <alignment horizontal="left"/>
    </xf>
    <xf numFmtId="0" fontId="17" fillId="11" borderId="1" xfId="0" applyFont="1" applyFill="1" applyBorder="1" applyAlignment="1">
      <alignment horizontal="right" vertical="top" wrapText="1"/>
    </xf>
    <xf numFmtId="0" fontId="17" fillId="13" borderId="1" xfId="0" applyFont="1" applyFill="1" applyBorder="1"/>
    <xf numFmtId="165" fontId="17" fillId="0" borderId="0" xfId="0" applyNumberFormat="1" applyFont="1"/>
    <xf numFmtId="0" fontId="16" fillId="15" borderId="1" xfId="0" applyFont="1" applyFill="1" applyBorder="1"/>
    <xf numFmtId="0" fontId="17" fillId="0" borderId="0" xfId="0" applyFont="1" applyAlignment="1">
      <alignment horizontal="center"/>
    </xf>
    <xf numFmtId="165" fontId="16" fillId="7" borderId="1" xfId="0" applyNumberFormat="1" applyFont="1" applyFill="1" applyBorder="1" applyAlignment="1">
      <alignment horizontal="center" vertical="center"/>
    </xf>
    <xf numFmtId="165" fontId="23" fillId="22" borderId="1" xfId="0" applyNumberFormat="1" applyFont="1" applyFill="1" applyBorder="1" applyAlignment="1">
      <alignment horizontal="center" vertical="center"/>
    </xf>
    <xf numFmtId="0" fontId="24" fillId="5" borderId="1" xfId="0" applyFont="1" applyFill="1" applyBorder="1" applyAlignment="1">
      <alignment horizontal="center" vertical="center"/>
    </xf>
    <xf numFmtId="165" fontId="24" fillId="5" borderId="1" xfId="0" applyNumberFormat="1" applyFont="1" applyFill="1" applyBorder="1" applyAlignment="1">
      <alignment horizontal="center" vertical="center"/>
    </xf>
    <xf numFmtId="0" fontId="23" fillId="22" borderId="1" xfId="0" applyFont="1" applyFill="1" applyBorder="1" applyAlignment="1">
      <alignment horizontal="center" vertical="center"/>
    </xf>
    <xf numFmtId="0" fontId="16" fillId="7" borderId="1" xfId="0" applyFont="1" applyFill="1" applyBorder="1" applyAlignment="1">
      <alignment horizontal="center" vertical="center"/>
    </xf>
    <xf numFmtId="0" fontId="25" fillId="0" borderId="1" xfId="0" applyFont="1" applyBorder="1" applyAlignment="1">
      <alignment horizontal="center" vertical="center"/>
    </xf>
    <xf numFmtId="0" fontId="17" fillId="11" borderId="1" xfId="0" applyFont="1" applyFill="1" applyBorder="1" applyAlignment="1">
      <alignment horizontal="right"/>
    </xf>
    <xf numFmtId="9" fontId="17" fillId="0" borderId="0" xfId="2" applyFont="1"/>
    <xf numFmtId="165" fontId="24" fillId="4" borderId="1" xfId="0" applyNumberFormat="1" applyFont="1" applyFill="1" applyBorder="1" applyAlignment="1">
      <alignment horizontal="center" vertical="center"/>
    </xf>
    <xf numFmtId="0" fontId="17" fillId="11" borderId="1" xfId="0" applyFont="1" applyFill="1" applyBorder="1" applyAlignment="1">
      <alignment horizontal="right" vertical="center" wrapText="1"/>
    </xf>
    <xf numFmtId="0" fontId="24" fillId="4" borderId="1" xfId="0" applyFont="1" applyFill="1" applyBorder="1" applyAlignment="1">
      <alignment horizontal="center" vertical="center"/>
    </xf>
    <xf numFmtId="0" fontId="17" fillId="13" borderId="1" xfId="0" quotePrefix="1" applyFont="1" applyFill="1" applyBorder="1"/>
    <xf numFmtId="0" fontId="17" fillId="13" borderId="1" xfId="0" quotePrefix="1" applyFont="1" applyFill="1" applyBorder="1" applyAlignment="1">
      <alignment vertical="top" wrapText="1"/>
    </xf>
    <xf numFmtId="0" fontId="17" fillId="11" borderId="1" xfId="0" applyFont="1" applyFill="1" applyBorder="1" applyAlignment="1">
      <alignment horizontal="right" wrapText="1"/>
    </xf>
    <xf numFmtId="0" fontId="27" fillId="0" borderId="1" xfId="0" applyFont="1" applyBorder="1" applyAlignment="1">
      <alignment horizontal="center" vertical="center"/>
    </xf>
    <xf numFmtId="0" fontId="17" fillId="13" borderId="4" xfId="0" applyFont="1" applyFill="1" applyBorder="1" applyAlignment="1">
      <alignment vertical="center"/>
    </xf>
    <xf numFmtId="0" fontId="17" fillId="13" borderId="5" xfId="0" applyFont="1" applyFill="1" applyBorder="1" applyAlignment="1">
      <alignment vertical="center"/>
    </xf>
    <xf numFmtId="0" fontId="28" fillId="0" borderId="0" xfId="0" applyFont="1" applyAlignment="1">
      <alignment vertical="center"/>
    </xf>
    <xf numFmtId="0" fontId="26" fillId="0" borderId="1" xfId="0" applyFont="1" applyBorder="1" applyAlignment="1">
      <alignment horizontal="center" vertical="center"/>
    </xf>
    <xf numFmtId="0" fontId="21" fillId="0" borderId="1" xfId="0" applyFont="1" applyBorder="1" applyAlignment="1">
      <alignment horizontal="center" vertical="center" wrapText="1"/>
    </xf>
    <xf numFmtId="0" fontId="21" fillId="0" borderId="5" xfId="0" applyFont="1" applyBorder="1" applyAlignment="1">
      <alignment horizontal="center" vertical="center"/>
    </xf>
    <xf numFmtId="165" fontId="17" fillId="11" borderId="1" xfId="0" applyNumberFormat="1" applyFont="1" applyFill="1" applyBorder="1" applyAlignment="1">
      <alignment horizontal="right" vertical="center"/>
    </xf>
    <xf numFmtId="165" fontId="19" fillId="0" borderId="0" xfId="0" applyNumberFormat="1" applyFont="1"/>
    <xf numFmtId="0" fontId="16" fillId="0" borderId="0" xfId="0" applyFont="1" applyAlignment="1">
      <alignment vertical="center" wrapText="1"/>
    </xf>
    <xf numFmtId="0" fontId="16" fillId="0" borderId="18" xfId="0" applyFont="1" applyBorder="1" applyAlignment="1">
      <alignment horizontal="left" vertical="top" wrapText="1"/>
    </xf>
    <xf numFmtId="0" fontId="16" fillId="0" borderId="0" xfId="0" applyFont="1" applyAlignment="1">
      <alignment horizontal="left" vertical="top" wrapText="1"/>
    </xf>
    <xf numFmtId="0" fontId="16" fillId="0" borderId="19" xfId="0" applyFont="1" applyBorder="1" applyAlignment="1">
      <alignment horizontal="left" vertical="top" wrapText="1"/>
    </xf>
    <xf numFmtId="0" fontId="16" fillId="0" borderId="20" xfId="0" applyFont="1" applyBorder="1" applyAlignment="1">
      <alignment horizontal="left" vertical="top" wrapText="1"/>
    </xf>
    <xf numFmtId="0" fontId="16" fillId="0" borderId="21" xfId="0" applyFont="1" applyBorder="1" applyAlignment="1">
      <alignment horizontal="left" vertical="top" wrapText="1"/>
    </xf>
    <xf numFmtId="0" fontId="16" fillId="0" borderId="22" xfId="0" applyFont="1" applyBorder="1" applyAlignment="1">
      <alignment horizontal="left" vertical="top" wrapText="1"/>
    </xf>
    <xf numFmtId="0" fontId="17" fillId="0" borderId="1" xfId="0" applyFont="1" applyBorder="1"/>
    <xf numFmtId="0" fontId="0" fillId="0" borderId="1" xfId="0" applyBorder="1"/>
    <xf numFmtId="165" fontId="17" fillId="11" borderId="1" xfId="0" applyNumberFormat="1" applyFont="1" applyFill="1" applyBorder="1"/>
    <xf numFmtId="165" fontId="16" fillId="0" borderId="1" xfId="0" applyNumberFormat="1" applyFont="1" applyBorder="1" applyAlignment="1">
      <alignment vertical="center"/>
    </xf>
    <xf numFmtId="0" fontId="17" fillId="0" borderId="1" xfId="0" applyFont="1" applyBorder="1" applyAlignment="1">
      <alignment horizontal="right" vertical="top" wrapText="1"/>
    </xf>
    <xf numFmtId="165" fontId="24" fillId="5" borderId="4" xfId="0" applyNumberFormat="1" applyFont="1" applyFill="1" applyBorder="1" applyAlignment="1">
      <alignment horizontal="center" vertical="center"/>
    </xf>
    <xf numFmtId="0" fontId="26" fillId="0" borderId="0" xfId="0" applyFont="1"/>
    <xf numFmtId="0" fontId="16" fillId="13" borderId="1" xfId="0" applyFont="1" applyFill="1" applyBorder="1" applyAlignment="1">
      <alignment horizontal="left" vertical="top"/>
    </xf>
    <xf numFmtId="0" fontId="16" fillId="7" borderId="1" xfId="0" applyFont="1" applyFill="1" applyBorder="1" applyAlignment="1">
      <alignment horizontal="center" vertical="top"/>
    </xf>
    <xf numFmtId="0" fontId="24" fillId="5" borderId="1" xfId="0" applyFont="1" applyFill="1" applyBorder="1" applyAlignment="1">
      <alignment horizontal="center" vertical="top"/>
    </xf>
    <xf numFmtId="0" fontId="21" fillId="0" borderId="1" xfId="0" applyFont="1" applyBorder="1" applyAlignment="1">
      <alignment horizontal="center" vertical="top"/>
    </xf>
    <xf numFmtId="0" fontId="22" fillId="0" borderId="1" xfId="0" applyFont="1" applyBorder="1" applyAlignment="1">
      <alignment horizontal="center" vertical="top"/>
    </xf>
    <xf numFmtId="0" fontId="0" fillId="0" borderId="0" xfId="0" applyAlignment="1">
      <alignment horizontal="left"/>
    </xf>
    <xf numFmtId="0" fontId="26" fillId="0" borderId="0" xfId="0" applyFont="1" applyAlignment="1">
      <alignment horizontal="center" vertical="center"/>
    </xf>
    <xf numFmtId="0" fontId="24" fillId="0" borderId="0" xfId="0" applyFont="1" applyAlignment="1">
      <alignment horizontal="center"/>
    </xf>
    <xf numFmtId="0" fontId="17" fillId="0" borderId="0" xfId="0" applyFont="1" applyAlignment="1">
      <alignment horizontal="right"/>
    </xf>
    <xf numFmtId="0" fontId="17" fillId="0" borderId="0" xfId="0" applyFont="1" applyAlignment="1">
      <alignment horizontal="right" wrapText="1"/>
    </xf>
    <xf numFmtId="0" fontId="17" fillId="0" borderId="0" xfId="0" applyFont="1" applyAlignment="1">
      <alignment horizontal="right" vertical="top" wrapText="1"/>
    </xf>
    <xf numFmtId="0" fontId="26" fillId="0" borderId="0" xfId="0" applyFont="1" applyAlignment="1">
      <alignment horizontal="center"/>
    </xf>
    <xf numFmtId="165" fontId="17" fillId="0" borderId="0" xfId="0" applyNumberFormat="1" applyFont="1" applyAlignment="1">
      <alignment horizontal="center"/>
    </xf>
    <xf numFmtId="0" fontId="16" fillId="0" borderId="0" xfId="0" applyFont="1" applyAlignment="1">
      <alignment horizontal="center"/>
    </xf>
    <xf numFmtId="0" fontId="16" fillId="15" borderId="1" xfId="0" applyFont="1" applyFill="1" applyBorder="1" applyAlignment="1">
      <alignment horizontal="center" vertical="center"/>
    </xf>
    <xf numFmtId="0" fontId="1" fillId="22" borderId="0" xfId="0" applyFont="1" applyFill="1" applyAlignment="1">
      <alignment horizontal="center"/>
    </xf>
    <xf numFmtId="0" fontId="0" fillId="0" borderId="0" xfId="0" applyAlignment="1">
      <alignment horizontal="center" wrapText="1"/>
    </xf>
    <xf numFmtId="9" fontId="17" fillId="0" borderId="0" xfId="2" applyFont="1" applyFill="1"/>
    <xf numFmtId="165" fontId="17" fillId="14" borderId="1" xfId="0" applyNumberFormat="1" applyFont="1" applyFill="1" applyBorder="1" applyAlignment="1">
      <alignment horizontal="right" vertical="center"/>
    </xf>
    <xf numFmtId="0" fontId="17" fillId="0" borderId="1" xfId="0" applyFont="1" applyBorder="1" applyAlignment="1">
      <alignment horizontal="right" vertical="center" wrapText="1"/>
    </xf>
    <xf numFmtId="0" fontId="16" fillId="0" borderId="0" xfId="0" applyFont="1" applyAlignment="1">
      <alignment vertical="center"/>
    </xf>
    <xf numFmtId="0" fontId="17" fillId="0" borderId="0" xfId="0" applyFont="1" applyAlignment="1">
      <alignment vertical="center" wrapText="1"/>
    </xf>
    <xf numFmtId="0" fontId="17" fillId="0" borderId="0" xfId="0" quotePrefix="1" applyFont="1" applyAlignment="1">
      <alignment vertical="center" wrapText="1"/>
    </xf>
    <xf numFmtId="165" fontId="16" fillId="11" borderId="0" xfId="0" applyNumberFormat="1" applyFont="1" applyFill="1" applyAlignment="1">
      <alignment horizontal="center"/>
    </xf>
    <xf numFmtId="165" fontId="17" fillId="0" borderId="0" xfId="0" applyNumberFormat="1" applyFont="1" applyAlignment="1">
      <alignment horizontal="right"/>
    </xf>
    <xf numFmtId="165" fontId="16" fillId="0" borderId="0" xfId="0" applyNumberFormat="1" applyFont="1" applyAlignment="1">
      <alignment horizontal="center"/>
    </xf>
    <xf numFmtId="0" fontId="0" fillId="0" borderId="0" xfId="0" applyAlignment="1">
      <alignment horizontal="right"/>
    </xf>
    <xf numFmtId="0" fontId="24" fillId="3" borderId="1" xfId="0" applyFont="1" applyFill="1" applyBorder="1" applyAlignment="1">
      <alignment horizontal="center" vertical="center"/>
    </xf>
    <xf numFmtId="3" fontId="17" fillId="0" borderId="1" xfId="0" applyNumberFormat="1" applyFont="1" applyBorder="1" applyAlignment="1">
      <alignment horizontal="right" vertical="center"/>
    </xf>
    <xf numFmtId="0" fontId="17" fillId="14" borderId="1" xfId="0" applyFont="1" applyFill="1" applyBorder="1" applyAlignment="1">
      <alignment horizontal="right" vertical="center"/>
    </xf>
    <xf numFmtId="0" fontId="21" fillId="0" borderId="0" xfId="0" applyFont="1" applyAlignment="1">
      <alignment horizontal="center" vertical="center"/>
    </xf>
    <xf numFmtId="0" fontId="27" fillId="0" borderId="0" xfId="0" applyFont="1" applyAlignment="1">
      <alignment horizontal="center" vertical="center"/>
    </xf>
    <xf numFmtId="0" fontId="25" fillId="0" borderId="0" xfId="0" applyFont="1" applyAlignment="1">
      <alignment horizontal="center" vertical="center"/>
    </xf>
    <xf numFmtId="165" fontId="16" fillId="22" borderId="1" xfId="0" applyNumberFormat="1" applyFont="1" applyFill="1" applyBorder="1" applyAlignment="1">
      <alignment horizontal="center" vertical="center"/>
    </xf>
    <xf numFmtId="0" fontId="17" fillId="13" borderId="20" xfId="0" applyFont="1" applyFill="1" applyBorder="1" applyAlignment="1">
      <alignment vertical="center"/>
    </xf>
    <xf numFmtId="0" fontId="17" fillId="13" borderId="22" xfId="0" applyFont="1" applyFill="1" applyBorder="1" applyAlignment="1">
      <alignment vertical="center"/>
    </xf>
    <xf numFmtId="0" fontId="23" fillId="0" borderId="0" xfId="0" applyFont="1" applyAlignment="1">
      <alignment horizontal="center" vertical="center"/>
    </xf>
    <xf numFmtId="0" fontId="17" fillId="0" borderId="0" xfId="0" applyFont="1" applyAlignment="1">
      <alignment horizontal="left" vertical="center"/>
    </xf>
    <xf numFmtId="0" fontId="22" fillId="0" borderId="0" xfId="0" applyFont="1" applyAlignment="1">
      <alignment horizontal="center" vertical="center"/>
    </xf>
    <xf numFmtId="0" fontId="26" fillId="0" borderId="0" xfId="0" applyFont="1" applyAlignment="1">
      <alignment vertical="center"/>
    </xf>
    <xf numFmtId="0" fontId="23" fillId="22" borderId="27" xfId="0" applyFont="1" applyFill="1" applyBorder="1" applyAlignment="1">
      <alignment horizontal="center" vertical="center"/>
    </xf>
    <xf numFmtId="0" fontId="21" fillId="0" borderId="27" xfId="0" applyFont="1" applyBorder="1" applyAlignment="1">
      <alignment horizontal="center" vertical="center"/>
    </xf>
    <xf numFmtId="0" fontId="22" fillId="0" borderId="27" xfId="0" applyFont="1" applyBorder="1" applyAlignment="1">
      <alignment horizontal="center" vertical="center"/>
    </xf>
    <xf numFmtId="0" fontId="17" fillId="13" borderId="26" xfId="0" applyFont="1" applyFill="1" applyBorder="1" applyAlignment="1">
      <alignment horizontal="left" vertical="center"/>
    </xf>
    <xf numFmtId="0" fontId="27" fillId="0" borderId="27" xfId="0" applyFont="1" applyBorder="1" applyAlignment="1">
      <alignment horizontal="center" vertical="center"/>
    </xf>
    <xf numFmtId="0" fontId="25" fillId="0" borderId="27" xfId="0" applyFont="1" applyBorder="1" applyAlignment="1">
      <alignment horizontal="center" vertical="center"/>
    </xf>
    <xf numFmtId="0" fontId="17" fillId="13" borderId="32" xfId="0" applyFont="1" applyFill="1" applyBorder="1" applyAlignment="1">
      <alignment vertical="center"/>
    </xf>
    <xf numFmtId="0" fontId="17" fillId="13" borderId="33" xfId="0" applyFont="1" applyFill="1" applyBorder="1" applyAlignment="1">
      <alignment vertical="center"/>
    </xf>
    <xf numFmtId="0" fontId="21" fillId="0" borderId="29" xfId="0" applyFont="1" applyBorder="1" applyAlignment="1">
      <alignment horizontal="center" vertical="center"/>
    </xf>
    <xf numFmtId="0" fontId="21" fillId="0" borderId="30" xfId="0" applyFont="1" applyBorder="1" applyAlignment="1">
      <alignment horizontal="center" vertical="center"/>
    </xf>
    <xf numFmtId="0" fontId="17" fillId="0" borderId="0" xfId="0" quotePrefix="1" applyFont="1"/>
    <xf numFmtId="0" fontId="17" fillId="13" borderId="26" xfId="0" applyFont="1" applyFill="1" applyBorder="1"/>
    <xf numFmtId="0" fontId="17" fillId="13" borderId="26" xfId="0" quotePrefix="1" applyFont="1" applyFill="1" applyBorder="1"/>
    <xf numFmtId="0" fontId="17" fillId="13" borderId="26" xfId="0" quotePrefix="1" applyFont="1" applyFill="1" applyBorder="1" applyAlignment="1">
      <alignment vertical="top" wrapText="1"/>
    </xf>
    <xf numFmtId="0" fontId="17" fillId="13" borderId="28" xfId="0" quotePrefix="1" applyFont="1" applyFill="1" applyBorder="1" applyAlignment="1">
      <alignment vertical="top" wrapText="1"/>
    </xf>
    <xf numFmtId="0" fontId="17" fillId="13" borderId="26" xfId="0" applyFont="1" applyFill="1" applyBorder="1" applyAlignment="1">
      <alignment horizontal="left" vertical="top"/>
    </xf>
    <xf numFmtId="0" fontId="17" fillId="0" borderId="27" xfId="0" applyFont="1" applyBorder="1" applyAlignment="1">
      <alignment horizontal="right"/>
    </xf>
    <xf numFmtId="0" fontId="17" fillId="0" borderId="27" xfId="0" applyFont="1" applyBorder="1" applyAlignment="1">
      <alignment horizontal="right" wrapText="1"/>
    </xf>
    <xf numFmtId="0" fontId="17" fillId="13" borderId="26" xfId="0" applyFont="1" applyFill="1" applyBorder="1" applyAlignment="1">
      <alignment horizontal="left"/>
    </xf>
    <xf numFmtId="0" fontId="17" fillId="11" borderId="27" xfId="0" applyFont="1" applyFill="1" applyBorder="1" applyAlignment="1">
      <alignment horizontal="right" vertical="top" wrapText="1"/>
    </xf>
    <xf numFmtId="0" fontId="17" fillId="13" borderId="28" xfId="0" applyFont="1" applyFill="1" applyBorder="1"/>
    <xf numFmtId="165" fontId="17" fillId="0" borderId="29" xfId="0" applyNumberFormat="1" applyFont="1" applyBorder="1" applyAlignment="1">
      <alignment horizontal="right"/>
    </xf>
    <xf numFmtId="0" fontId="17" fillId="0" borderId="21" xfId="0" applyFont="1" applyBorder="1"/>
    <xf numFmtId="0" fontId="17" fillId="13" borderId="29" xfId="0" applyFont="1" applyFill="1" applyBorder="1" applyAlignment="1">
      <alignment horizontal="left" vertical="top"/>
    </xf>
    <xf numFmtId="165" fontId="17" fillId="0" borderId="30" xfId="0" applyNumberFormat="1" applyFont="1" applyBorder="1" applyAlignment="1">
      <alignment horizontal="right"/>
    </xf>
    <xf numFmtId="0" fontId="17" fillId="13" borderId="2" xfId="0" applyFont="1" applyFill="1" applyBorder="1"/>
    <xf numFmtId="0" fontId="16" fillId="15" borderId="26" xfId="0" applyFont="1" applyFill="1" applyBorder="1"/>
    <xf numFmtId="0" fontId="17" fillId="14" borderId="1" xfId="0" applyFont="1" applyFill="1" applyBorder="1" applyAlignment="1">
      <alignment horizontal="center" vertical="center"/>
    </xf>
    <xf numFmtId="0" fontId="23" fillId="0" borderId="0" xfId="0" applyFont="1" applyAlignment="1">
      <alignment horizontal="center"/>
    </xf>
    <xf numFmtId="9" fontId="17" fillId="0" borderId="0" xfId="2" applyFont="1" applyFill="1" applyBorder="1" applyAlignment="1">
      <alignment vertical="center"/>
    </xf>
    <xf numFmtId="0" fontId="26" fillId="0" borderId="0" xfId="0" applyFont="1" applyAlignment="1">
      <alignment vertical="top" wrapText="1"/>
    </xf>
    <xf numFmtId="0" fontId="17" fillId="11" borderId="1" xfId="0" applyFont="1" applyFill="1" applyBorder="1" applyAlignment="1">
      <alignment horizontal="right" vertical="center"/>
    </xf>
    <xf numFmtId="9" fontId="0" fillId="0" borderId="0" xfId="0" applyNumberFormat="1"/>
    <xf numFmtId="0" fontId="16" fillId="15" borderId="2" xfId="0" applyFont="1" applyFill="1" applyBorder="1" applyAlignment="1">
      <alignment horizontal="center" vertical="center"/>
    </xf>
    <xf numFmtId="0" fontId="39" fillId="0" borderId="1" xfId="0" applyFont="1" applyBorder="1" applyAlignment="1">
      <alignment horizontal="right"/>
    </xf>
    <xf numFmtId="0" fontId="41" fillId="0" borderId="1" xfId="0" applyFont="1" applyBorder="1" applyAlignment="1">
      <alignment horizontal="right" vertical="center"/>
    </xf>
    <xf numFmtId="0" fontId="39" fillId="0" borderId="1" xfId="0" quotePrefix="1" applyFont="1" applyBorder="1" applyAlignment="1">
      <alignment horizontal="center" vertical="center" wrapText="1"/>
    </xf>
    <xf numFmtId="0" fontId="0" fillId="26" borderId="0" xfId="0" applyFill="1"/>
    <xf numFmtId="0" fontId="0" fillId="0" borderId="1" xfId="0" applyBorder="1" applyAlignment="1">
      <alignment horizontal="center"/>
    </xf>
    <xf numFmtId="0" fontId="40" fillId="25" borderId="1" xfId="0" quotePrefix="1" applyFont="1" applyFill="1" applyBorder="1" applyAlignment="1">
      <alignment horizontal="center" vertical="center" wrapText="1"/>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1" fillId="7" borderId="1" xfId="0" applyFont="1" applyFill="1" applyBorder="1" applyAlignment="1">
      <alignment horizontal="center" vertical="center"/>
    </xf>
    <xf numFmtId="0" fontId="39" fillId="14" borderId="1" xfId="0" applyFont="1" applyFill="1" applyBorder="1" applyAlignment="1">
      <alignment horizontal="center" vertical="center"/>
    </xf>
    <xf numFmtId="6" fontId="0" fillId="3" borderId="1" xfId="0" applyNumberFormat="1" applyFill="1" applyBorder="1"/>
    <xf numFmtId="0" fontId="0" fillId="3" borderId="1" xfId="0" applyFill="1" applyBorder="1"/>
    <xf numFmtId="0" fontId="1" fillId="2" borderId="27" xfId="0" applyFont="1" applyFill="1" applyBorder="1" applyAlignment="1">
      <alignment horizontal="center" vertical="center"/>
    </xf>
    <xf numFmtId="0" fontId="0" fillId="0" borderId="26" xfId="0" applyBorder="1" applyAlignment="1">
      <alignment horizontal="center" vertical="center"/>
    </xf>
    <xf numFmtId="0" fontId="0" fillId="0" borderId="26" xfId="0" applyBorder="1" applyAlignment="1">
      <alignment horizontal="center"/>
    </xf>
    <xf numFmtId="0" fontId="0" fillId="0" borderId="28" xfId="0" applyBorder="1" applyAlignment="1">
      <alignment horizontal="center" vertical="center"/>
    </xf>
    <xf numFmtId="0" fontId="0" fillId="3" borderId="29" xfId="0" applyFill="1" applyBorder="1"/>
    <xf numFmtId="169" fontId="0" fillId="22" borderId="1" xfId="0" applyNumberFormat="1" applyFill="1" applyBorder="1" applyAlignment="1">
      <alignment horizontal="center" vertical="center"/>
    </xf>
    <xf numFmtId="6" fontId="0" fillId="14" borderId="1" xfId="0" applyNumberFormat="1" applyFill="1" applyBorder="1" applyAlignment="1">
      <alignment horizontal="center" vertical="center"/>
    </xf>
    <xf numFmtId="0" fontId="39" fillId="14" borderId="1" xfId="0" applyFont="1" applyFill="1" applyBorder="1" applyAlignment="1">
      <alignment horizontal="center" vertical="center" wrapText="1"/>
    </xf>
    <xf numFmtId="169" fontId="0" fillId="0" borderId="30" xfId="0" applyNumberFormat="1" applyBorder="1" applyAlignment="1">
      <alignment horizontal="center" vertical="center"/>
    </xf>
    <xf numFmtId="0" fontId="38" fillId="13" borderId="26" xfId="0" applyFont="1" applyFill="1" applyBorder="1"/>
    <xf numFmtId="0" fontId="41" fillId="0" borderId="27" xfId="0" applyFont="1" applyBorder="1" applyAlignment="1">
      <alignment horizontal="right" vertical="center"/>
    </xf>
    <xf numFmtId="0" fontId="39" fillId="0" borderId="27" xfId="0" applyFont="1" applyBorder="1" applyAlignment="1">
      <alignment horizontal="right"/>
    </xf>
    <xf numFmtId="0" fontId="39" fillId="0" borderId="27" xfId="0" applyFont="1" applyBorder="1" applyAlignment="1">
      <alignment horizontal="right" vertical="top" wrapText="1"/>
    </xf>
    <xf numFmtId="0" fontId="39" fillId="0" borderId="27" xfId="0" applyFont="1" applyBorder="1" applyAlignment="1">
      <alignment horizontal="center" vertical="center"/>
    </xf>
    <xf numFmtId="0" fontId="40" fillId="25" borderId="27" xfId="0" applyFont="1" applyFill="1" applyBorder="1" applyAlignment="1">
      <alignment horizontal="center"/>
    </xf>
    <xf numFmtId="0" fontId="39" fillId="0" borderId="27" xfId="0" applyFont="1" applyBorder="1" applyAlignment="1">
      <alignment horizontal="center" vertical="center" wrapText="1"/>
    </xf>
    <xf numFmtId="0" fontId="0" fillId="0" borderId="27" xfId="0" applyBorder="1" applyAlignment="1">
      <alignment horizontal="center" vertical="center"/>
    </xf>
    <xf numFmtId="0" fontId="39" fillId="0" borderId="29" xfId="0" applyFont="1" applyBorder="1" applyAlignment="1">
      <alignment horizontal="center" vertical="center"/>
    </xf>
    <xf numFmtId="0" fontId="39" fillId="0" borderId="30" xfId="0" applyFont="1" applyBorder="1" applyAlignment="1">
      <alignment horizontal="left" vertical="center" wrapText="1"/>
    </xf>
    <xf numFmtId="0" fontId="39" fillId="0" borderId="1" xfId="0" applyFont="1" applyBorder="1" applyAlignment="1">
      <alignment horizontal="center" vertical="center"/>
    </xf>
    <xf numFmtId="0" fontId="6" fillId="24" borderId="26" xfId="0" applyFont="1" applyFill="1" applyBorder="1" applyAlignment="1">
      <alignment horizontal="left" vertical="center"/>
    </xf>
    <xf numFmtId="0" fontId="6" fillId="24" borderId="50" xfId="0" applyFont="1" applyFill="1" applyBorder="1" applyAlignment="1">
      <alignment horizontal="left" vertical="center"/>
    </xf>
    <xf numFmtId="0" fontId="2" fillId="13" borderId="26" xfId="0" applyFont="1" applyFill="1" applyBorder="1"/>
    <xf numFmtId="0" fontId="2" fillId="13" borderId="26" xfId="0" applyFont="1" applyFill="1" applyBorder="1" applyAlignment="1">
      <alignment horizontal="left" vertical="top"/>
    </xf>
    <xf numFmtId="0" fontId="2" fillId="13" borderId="26" xfId="0" applyFont="1" applyFill="1" applyBorder="1" applyAlignment="1">
      <alignment horizontal="left"/>
    </xf>
    <xf numFmtId="0" fontId="2" fillId="13" borderId="26" xfId="0" applyFont="1" applyFill="1" applyBorder="1" applyAlignment="1">
      <alignment horizontal="left" vertical="center"/>
    </xf>
    <xf numFmtId="0" fontId="6" fillId="24" borderId="28" xfId="0" applyFont="1" applyFill="1" applyBorder="1" applyAlignment="1">
      <alignment horizontal="left" vertical="center"/>
    </xf>
    <xf numFmtId="6" fontId="0" fillId="14" borderId="1" xfId="0" applyNumberFormat="1" applyFill="1" applyBorder="1" applyAlignment="1">
      <alignment horizontal="center"/>
    </xf>
    <xf numFmtId="0" fontId="0" fillId="26" borderId="16" xfId="0" applyFill="1" applyBorder="1" applyAlignment="1">
      <alignment horizontal="center"/>
    </xf>
    <xf numFmtId="0" fontId="16" fillId="12" borderId="15" xfId="0" applyFont="1" applyFill="1" applyBorder="1" applyAlignment="1">
      <alignment horizontal="center" vertical="center"/>
    </xf>
    <xf numFmtId="0" fontId="16" fillId="12" borderId="16" xfId="0" applyFont="1" applyFill="1" applyBorder="1" applyAlignment="1">
      <alignment horizontal="center" vertical="center"/>
    </xf>
    <xf numFmtId="0" fontId="16" fillId="12" borderId="17" xfId="0" applyFont="1" applyFill="1" applyBorder="1" applyAlignment="1">
      <alignment horizontal="center" vertical="center"/>
    </xf>
    <xf numFmtId="0" fontId="16" fillId="12" borderId="18" xfId="0" applyFont="1" applyFill="1" applyBorder="1" applyAlignment="1">
      <alignment horizontal="center" vertical="center"/>
    </xf>
    <xf numFmtId="0" fontId="16" fillId="12" borderId="0" xfId="0" applyFont="1" applyFill="1" applyAlignment="1">
      <alignment horizontal="center" vertical="center"/>
    </xf>
    <xf numFmtId="0" fontId="16" fillId="12" borderId="19" xfId="0" applyFont="1" applyFill="1" applyBorder="1" applyAlignment="1">
      <alignment horizontal="center" vertical="center"/>
    </xf>
    <xf numFmtId="0" fontId="0" fillId="0" borderId="18" xfId="0" applyBorder="1" applyAlignment="1">
      <alignment horizontal="center"/>
    </xf>
    <xf numFmtId="0" fontId="0" fillId="0" borderId="0" xfId="0" applyAlignment="1">
      <alignment horizontal="center"/>
    </xf>
    <xf numFmtId="0" fontId="0" fillId="0" borderId="20" xfId="0" applyBorder="1" applyAlignment="1">
      <alignment horizontal="center"/>
    </xf>
    <xf numFmtId="0" fontId="0" fillId="0" borderId="21" xfId="0" applyBorder="1" applyAlignment="1">
      <alignment horizontal="center"/>
    </xf>
    <xf numFmtId="0" fontId="17" fillId="0" borderId="15" xfId="0" applyFont="1" applyBorder="1" applyAlignment="1">
      <alignment horizontal="left" vertical="top" wrapText="1"/>
    </xf>
    <xf numFmtId="0" fontId="17" fillId="0" borderId="16" xfId="0" applyFont="1" applyBorder="1" applyAlignment="1">
      <alignment horizontal="left" vertical="top"/>
    </xf>
    <xf numFmtId="0" fontId="17" fillId="0" borderId="17" xfId="0" applyFont="1" applyBorder="1" applyAlignment="1">
      <alignment horizontal="left" vertical="top"/>
    </xf>
    <xf numFmtId="0" fontId="17" fillId="0" borderId="18" xfId="0" applyFont="1" applyBorder="1" applyAlignment="1">
      <alignment horizontal="left" vertical="top"/>
    </xf>
    <xf numFmtId="0" fontId="17" fillId="0" borderId="0" xfId="0" applyFont="1" applyAlignment="1">
      <alignment horizontal="left" vertical="top"/>
    </xf>
    <xf numFmtId="0" fontId="17" fillId="0" borderId="19" xfId="0" applyFont="1" applyBorder="1" applyAlignment="1">
      <alignment horizontal="left" vertical="top"/>
    </xf>
    <xf numFmtId="0" fontId="17" fillId="0" borderId="20" xfId="0" applyFont="1" applyBorder="1" applyAlignment="1">
      <alignment horizontal="left" vertical="top"/>
    </xf>
    <xf numFmtId="0" fontId="17" fillId="0" borderId="21" xfId="0" applyFont="1" applyBorder="1" applyAlignment="1">
      <alignment horizontal="left" vertical="top"/>
    </xf>
    <xf numFmtId="0" fontId="17" fillId="0" borderId="22" xfId="0" applyFont="1" applyBorder="1" applyAlignment="1">
      <alignment horizontal="left" vertical="top"/>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6" fontId="0" fillId="14" borderId="1" xfId="0" applyNumberFormat="1" applyFill="1" applyBorder="1" applyAlignment="1">
      <alignment horizontal="center" vertical="center"/>
    </xf>
    <xf numFmtId="0" fontId="0" fillId="14" borderId="1" xfId="0" applyFill="1" applyBorder="1" applyAlignment="1">
      <alignment horizontal="center" vertical="center"/>
    </xf>
    <xf numFmtId="0" fontId="0" fillId="3" borderId="1" xfId="0" applyFill="1" applyBorder="1" applyAlignment="1">
      <alignment horizontal="center" vertical="center"/>
    </xf>
    <xf numFmtId="0" fontId="0" fillId="3" borderId="29" xfId="0" applyFill="1" applyBorder="1" applyAlignment="1">
      <alignment horizontal="center" vertical="center"/>
    </xf>
    <xf numFmtId="0" fontId="16" fillId="12" borderId="35" xfId="0" applyFont="1" applyFill="1" applyBorder="1" applyAlignment="1">
      <alignment horizontal="center" vertical="center"/>
    </xf>
    <xf numFmtId="0" fontId="16" fillId="12" borderId="36" xfId="0" applyFont="1" applyFill="1" applyBorder="1" applyAlignment="1">
      <alignment horizontal="center" vertical="center"/>
    </xf>
    <xf numFmtId="0" fontId="16" fillId="12" borderId="37" xfId="0" applyFont="1" applyFill="1" applyBorder="1" applyAlignment="1">
      <alignment horizontal="center" vertical="center"/>
    </xf>
    <xf numFmtId="0" fontId="0" fillId="0" borderId="8" xfId="0" applyBorder="1" applyAlignment="1">
      <alignment horizontal="center"/>
    </xf>
    <xf numFmtId="0" fontId="0" fillId="0" borderId="10" xfId="0" applyBorder="1" applyAlignment="1">
      <alignment horizontal="center"/>
    </xf>
    <xf numFmtId="0" fontId="0" fillId="0" borderId="3" xfId="0" applyBorder="1" applyAlignment="1">
      <alignment horizontal="center"/>
    </xf>
    <xf numFmtId="0" fontId="0" fillId="0" borderId="4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6" xfId="0" applyBorder="1" applyAlignment="1">
      <alignment horizontal="center"/>
    </xf>
    <xf numFmtId="0" fontId="0" fillId="0" borderId="2" xfId="0" applyBorder="1" applyAlignment="1">
      <alignment horizontal="center"/>
    </xf>
    <xf numFmtId="0" fontId="0" fillId="0" borderId="45" xfId="0"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3" xfId="0" applyBorder="1" applyAlignment="1">
      <alignment horizontal="center" vertical="center"/>
    </xf>
    <xf numFmtId="0" fontId="0" fillId="0" borderId="4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2" fillId="27" borderId="1" xfId="0" applyFont="1" applyFill="1" applyBorder="1" applyAlignment="1">
      <alignment horizontal="center" vertical="center"/>
    </xf>
    <xf numFmtId="0" fontId="2" fillId="27" borderId="27" xfId="0" applyFont="1" applyFill="1" applyBorder="1" applyAlignment="1">
      <alignment horizontal="center" vertical="center"/>
    </xf>
    <xf numFmtId="0" fontId="1" fillId="7" borderId="1" xfId="0" applyFont="1" applyFill="1" applyBorder="1" applyAlignment="1">
      <alignment horizontal="center" vertical="center"/>
    </xf>
    <xf numFmtId="0" fontId="0" fillId="0" borderId="1" xfId="0" applyBorder="1" applyAlignment="1">
      <alignment horizontal="center"/>
    </xf>
    <xf numFmtId="6" fontId="0" fillId="0" borderId="29" xfId="0" applyNumberFormat="1" applyBorder="1" applyAlignment="1">
      <alignment horizontal="center"/>
    </xf>
    <xf numFmtId="0" fontId="0" fillId="0" borderId="29" xfId="0" applyBorder="1" applyAlignment="1">
      <alignment horizontal="center"/>
    </xf>
    <xf numFmtId="0" fontId="6" fillId="24" borderId="48" xfId="0" applyFont="1" applyFill="1" applyBorder="1" applyAlignment="1">
      <alignment horizontal="left" vertical="center"/>
    </xf>
    <xf numFmtId="0" fontId="6" fillId="24" borderId="49" xfId="0" applyFont="1" applyFill="1" applyBorder="1" applyAlignment="1">
      <alignment horizontal="left" vertical="center"/>
    </xf>
    <xf numFmtId="0" fontId="6" fillId="24" borderId="50" xfId="0" applyFont="1" applyFill="1" applyBorder="1" applyAlignment="1">
      <alignment horizontal="left" vertical="center"/>
    </xf>
    <xf numFmtId="0" fontId="39" fillId="0" borderId="14" xfId="0" applyFont="1" applyBorder="1" applyAlignment="1">
      <alignment horizontal="center" vertical="center" wrapText="1"/>
    </xf>
    <xf numFmtId="0" fontId="39" fillId="0" borderId="6" xfId="0" applyFont="1" applyBorder="1" applyAlignment="1">
      <alignment horizontal="center" vertical="center" wrapText="1"/>
    </xf>
    <xf numFmtId="0" fontId="39" fillId="0" borderId="2" xfId="0" applyFont="1" applyBorder="1" applyAlignment="1">
      <alignment horizontal="center" vertical="center" wrapText="1"/>
    </xf>
    <xf numFmtId="0" fontId="39" fillId="0" borderId="42" xfId="0" applyFont="1" applyBorder="1" applyAlignment="1">
      <alignment horizontal="left" vertical="top" wrapText="1"/>
    </xf>
    <xf numFmtId="0" fontId="39" fillId="0" borderId="43" xfId="0" applyFont="1" applyBorder="1" applyAlignment="1">
      <alignment horizontal="left" vertical="top" wrapText="1"/>
    </xf>
    <xf numFmtId="0" fontId="39" fillId="0" borderId="44" xfId="0" applyFont="1" applyBorder="1" applyAlignment="1">
      <alignment horizontal="left" vertical="top" wrapText="1"/>
    </xf>
    <xf numFmtId="6" fontId="0" fillId="0" borderId="1" xfId="0" applyNumberFormat="1" applyBorder="1" applyAlignment="1">
      <alignment horizontal="center"/>
    </xf>
    <xf numFmtId="169" fontId="0" fillId="0" borderId="1" xfId="0" applyNumberFormat="1" applyBorder="1" applyAlignment="1">
      <alignment horizontal="center" vertical="center"/>
    </xf>
    <xf numFmtId="0" fontId="0" fillId="0" borderId="1" xfId="0" applyBorder="1" applyAlignment="1">
      <alignment horizontal="center" vertical="center"/>
    </xf>
    <xf numFmtId="6" fontId="0" fillId="0" borderId="1" xfId="0" applyNumberFormat="1" applyBorder="1" applyAlignment="1">
      <alignment horizontal="center" vertical="center"/>
    </xf>
    <xf numFmtId="0" fontId="6" fillId="24" borderId="48" xfId="0" applyFont="1" applyFill="1" applyBorder="1" applyAlignment="1">
      <alignment horizontal="left" vertical="center" wrapText="1"/>
    </xf>
    <xf numFmtId="0" fontId="6" fillId="24" borderId="50" xfId="0" applyFont="1" applyFill="1" applyBorder="1" applyAlignment="1">
      <alignment horizontal="left" vertical="center" wrapText="1"/>
    </xf>
    <xf numFmtId="0" fontId="39" fillId="14" borderId="14" xfId="0" applyFont="1" applyFill="1" applyBorder="1" applyAlignment="1">
      <alignment horizontal="center" vertical="center"/>
    </xf>
    <xf numFmtId="0" fontId="39" fillId="14" borderId="2" xfId="0" applyFont="1" applyFill="1" applyBorder="1" applyAlignment="1">
      <alignment horizontal="center" vertical="center"/>
    </xf>
    <xf numFmtId="0" fontId="0" fillId="13" borderId="31" xfId="0" applyFill="1" applyBorder="1" applyAlignment="1">
      <alignment horizontal="center"/>
    </xf>
    <xf numFmtId="0" fontId="0" fillId="13" borderId="5" xfId="0" applyFill="1" applyBorder="1" applyAlignment="1">
      <alignment horizontal="center"/>
    </xf>
    <xf numFmtId="0" fontId="1" fillId="2" borderId="1" xfId="0" applyFont="1" applyFill="1" applyBorder="1" applyAlignment="1">
      <alignment horizontal="center" vertical="center"/>
    </xf>
    <xf numFmtId="0" fontId="2" fillId="13" borderId="26" xfId="0" applyFont="1" applyFill="1" applyBorder="1" applyAlignment="1">
      <alignment horizontal="center" vertical="center"/>
    </xf>
    <xf numFmtId="169" fontId="0" fillId="0" borderId="29" xfId="0" applyNumberFormat="1" applyBorder="1" applyAlignment="1">
      <alignment horizontal="center" vertical="center"/>
    </xf>
    <xf numFmtId="0" fontId="0" fillId="0" borderId="30" xfId="0" applyBorder="1" applyAlignment="1">
      <alignment horizontal="center" vertical="center"/>
    </xf>
    <xf numFmtId="169" fontId="0" fillId="14" borderId="29" xfId="0" applyNumberFormat="1" applyFill="1" applyBorder="1" applyAlignment="1">
      <alignment horizontal="center" vertical="center"/>
    </xf>
    <xf numFmtId="0" fontId="0" fillId="14" borderId="29" xfId="0" applyFill="1" applyBorder="1" applyAlignment="1">
      <alignment horizontal="center" vertical="center"/>
    </xf>
    <xf numFmtId="0" fontId="2" fillId="13" borderId="31" xfId="0" applyFont="1" applyFill="1" applyBorder="1" applyAlignment="1">
      <alignment horizontal="left" vertical="center"/>
    </xf>
    <xf numFmtId="0" fontId="2" fillId="13" borderId="5" xfId="0" applyFont="1" applyFill="1" applyBorder="1" applyAlignment="1">
      <alignment horizontal="left" vertical="center"/>
    </xf>
    <xf numFmtId="0" fontId="2" fillId="13" borderId="32" xfId="0" applyFont="1" applyFill="1" applyBorder="1" applyAlignment="1">
      <alignment horizontal="left" vertical="center"/>
    </xf>
    <xf numFmtId="0" fontId="2" fillId="13" borderId="33" xfId="0" applyFont="1" applyFill="1" applyBorder="1" applyAlignment="1">
      <alignment horizontal="left" vertical="center"/>
    </xf>
    <xf numFmtId="0" fontId="0" fillId="0" borderId="27" xfId="0" applyBorder="1" applyAlignment="1">
      <alignment horizontal="center"/>
    </xf>
    <xf numFmtId="169" fontId="0" fillId="22" borderId="1" xfId="0" applyNumberFormat="1" applyFill="1" applyBorder="1" applyAlignment="1">
      <alignment horizontal="center"/>
    </xf>
    <xf numFmtId="169" fontId="0" fillId="22" borderId="27" xfId="0" applyNumberFormat="1" applyFill="1" applyBorder="1" applyAlignment="1">
      <alignment horizontal="center"/>
    </xf>
    <xf numFmtId="169" fontId="0" fillId="0" borderId="1" xfId="0" applyNumberFormat="1" applyBorder="1" applyAlignment="1">
      <alignment horizontal="center"/>
    </xf>
    <xf numFmtId="0" fontId="1" fillId="2" borderId="27" xfId="0" applyFont="1" applyFill="1" applyBorder="1" applyAlignment="1">
      <alignment horizontal="center" vertical="center"/>
    </xf>
    <xf numFmtId="0" fontId="2" fillId="13" borderId="48" xfId="0" applyFont="1" applyFill="1" applyBorder="1" applyAlignment="1">
      <alignment horizontal="left" vertical="center"/>
    </xf>
    <xf numFmtId="0" fontId="2" fillId="13" borderId="49" xfId="0" applyFont="1" applyFill="1" applyBorder="1" applyAlignment="1">
      <alignment horizontal="left" vertical="center"/>
    </xf>
    <xf numFmtId="0" fontId="2" fillId="13" borderId="50" xfId="0" applyFont="1" applyFill="1" applyBorder="1" applyAlignment="1">
      <alignment horizontal="left" vertical="center"/>
    </xf>
    <xf numFmtId="0" fontId="39" fillId="0" borderId="14" xfId="0" applyFont="1" applyBorder="1" applyAlignment="1">
      <alignment horizontal="center" vertical="center"/>
    </xf>
    <xf numFmtId="0" fontId="39" fillId="0" borderId="6" xfId="0" applyFont="1" applyBorder="1" applyAlignment="1">
      <alignment horizontal="center" vertical="center"/>
    </xf>
    <xf numFmtId="0" fontId="39" fillId="0" borderId="2" xfId="0" applyFont="1" applyBorder="1" applyAlignment="1">
      <alignment horizontal="center" vertical="center"/>
    </xf>
    <xf numFmtId="0" fontId="39" fillId="0" borderId="42" xfId="0" applyFont="1" applyBorder="1" applyAlignment="1">
      <alignment horizontal="center" vertical="center"/>
    </xf>
    <xf numFmtId="0" fontId="39" fillId="0" borderId="43" xfId="0" applyFont="1" applyBorder="1" applyAlignment="1">
      <alignment horizontal="center" vertical="center"/>
    </xf>
    <xf numFmtId="0" fontId="39" fillId="0" borderId="44" xfId="0" applyFont="1" applyBorder="1" applyAlignment="1">
      <alignment horizontal="center" vertical="center"/>
    </xf>
    <xf numFmtId="0" fontId="16" fillId="12" borderId="26" xfId="0" applyFont="1" applyFill="1" applyBorder="1" applyAlignment="1">
      <alignment horizontal="center" vertical="center"/>
    </xf>
    <xf numFmtId="0" fontId="16" fillId="12" borderId="1" xfId="0" applyFont="1" applyFill="1" applyBorder="1" applyAlignment="1">
      <alignment horizontal="center" vertical="center"/>
    </xf>
    <xf numFmtId="0" fontId="16" fillId="12" borderId="27" xfId="0" applyFont="1" applyFill="1" applyBorder="1" applyAlignment="1">
      <alignment horizontal="center" vertical="center"/>
    </xf>
    <xf numFmtId="0" fontId="6" fillId="24" borderId="49" xfId="0" applyFont="1" applyFill="1" applyBorder="1" applyAlignment="1">
      <alignment horizontal="left" vertical="center" wrapText="1"/>
    </xf>
    <xf numFmtId="0" fontId="6" fillId="24" borderId="26" xfId="0" applyFont="1" applyFill="1" applyBorder="1" applyAlignment="1">
      <alignment horizontal="left" vertical="center"/>
    </xf>
    <xf numFmtId="0" fontId="40" fillId="25" borderId="27" xfId="0" applyFont="1" applyFill="1" applyBorder="1" applyAlignment="1">
      <alignment horizontal="center" vertical="center"/>
    </xf>
    <xf numFmtId="0" fontId="39" fillId="14" borderId="14" xfId="0" applyFont="1" applyFill="1" applyBorder="1" applyAlignment="1">
      <alignment horizontal="center" vertical="center" wrapText="1"/>
    </xf>
    <xf numFmtId="0" fontId="39" fillId="14" borderId="6" xfId="0" applyFont="1" applyFill="1" applyBorder="1" applyAlignment="1">
      <alignment horizontal="center" vertical="center" wrapText="1"/>
    </xf>
    <xf numFmtId="0" fontId="39" fillId="14" borderId="2" xfId="0" applyFont="1" applyFill="1" applyBorder="1" applyAlignment="1">
      <alignment horizontal="center" vertical="center" wrapText="1"/>
    </xf>
    <xf numFmtId="0" fontId="16" fillId="12" borderId="51" xfId="0" applyFont="1" applyFill="1" applyBorder="1" applyAlignment="1">
      <alignment horizontal="center" vertical="center"/>
    </xf>
    <xf numFmtId="0" fontId="16" fillId="12" borderId="9" xfId="0" applyFont="1" applyFill="1" applyBorder="1" applyAlignment="1">
      <alignment horizontal="center" vertical="center"/>
    </xf>
    <xf numFmtId="0" fontId="16" fillId="12" borderId="52" xfId="0" applyFont="1" applyFill="1" applyBorder="1" applyAlignment="1">
      <alignment horizontal="center" vertical="center"/>
    </xf>
    <xf numFmtId="0" fontId="16" fillId="12" borderId="53" xfId="0" applyFont="1" applyFill="1" applyBorder="1" applyAlignment="1">
      <alignment horizontal="center" vertical="center"/>
    </xf>
    <xf numFmtId="0" fontId="16" fillId="12" borderId="7" xfId="0" applyFont="1" applyFill="1" applyBorder="1" applyAlignment="1">
      <alignment horizontal="center" vertical="center"/>
    </xf>
    <xf numFmtId="0" fontId="16" fillId="12" borderId="54"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top" wrapText="1"/>
    </xf>
    <xf numFmtId="0" fontId="3" fillId="3" borderId="0" xfId="0" applyFont="1" applyFill="1" applyAlignment="1">
      <alignment horizontal="left" vertical="center"/>
    </xf>
    <xf numFmtId="0" fontId="3" fillId="3" borderId="1" xfId="0" applyFont="1" applyFill="1" applyBorder="1" applyAlignment="1">
      <alignment horizontal="left" vertical="center"/>
    </xf>
    <xf numFmtId="0" fontId="0" fillId="0" borderId="3" xfId="0" applyBorder="1" applyAlignment="1">
      <alignment horizontal="center" vertical="center" wrapText="1"/>
    </xf>
    <xf numFmtId="0" fontId="0" fillId="0" borderId="0" xfId="0" applyAlignment="1">
      <alignment horizontal="center" vertical="center" wrapText="1"/>
    </xf>
    <xf numFmtId="0" fontId="3" fillId="7" borderId="1" xfId="0" applyFont="1" applyFill="1" applyBorder="1" applyAlignment="1">
      <alignment horizontal="left" vertical="center" wrapText="1"/>
    </xf>
    <xf numFmtId="0" fontId="3" fillId="7" borderId="1" xfId="0" applyFont="1" applyFill="1" applyBorder="1" applyAlignment="1">
      <alignment horizontal="left" vertical="center"/>
    </xf>
    <xf numFmtId="0" fontId="0" fillId="0" borderId="0" xfId="0" quotePrefix="1" applyAlignment="1">
      <alignment horizontal="left" vertical="top" wrapText="1"/>
    </xf>
    <xf numFmtId="0" fontId="0" fillId="0" borderId="0" xfId="0" applyAlignment="1">
      <alignment horizontal="left" vertical="top"/>
    </xf>
    <xf numFmtId="0" fontId="17" fillId="13" borderId="4" xfId="0" applyFont="1" applyFill="1" applyBorder="1" applyAlignment="1">
      <alignment horizontal="left" vertical="center"/>
    </xf>
    <xf numFmtId="0" fontId="17" fillId="13" borderId="5" xfId="0" applyFont="1" applyFill="1" applyBorder="1" applyAlignment="1">
      <alignment horizontal="left" vertical="center"/>
    </xf>
    <xf numFmtId="0" fontId="16" fillId="0" borderId="15" xfId="0" applyFont="1" applyBorder="1" applyAlignment="1">
      <alignment horizontal="left" vertical="top" wrapText="1"/>
    </xf>
    <xf numFmtId="0" fontId="16" fillId="0" borderId="16" xfId="0" applyFont="1" applyBorder="1" applyAlignment="1">
      <alignment horizontal="left" vertical="top" wrapText="1"/>
    </xf>
    <xf numFmtId="0" fontId="16" fillId="0" borderId="17" xfId="0" applyFont="1" applyBorder="1" applyAlignment="1">
      <alignment horizontal="left" vertical="top" wrapText="1"/>
    </xf>
    <xf numFmtId="0" fontId="16" fillId="0" borderId="18" xfId="0" applyFont="1" applyBorder="1" applyAlignment="1">
      <alignment horizontal="left" vertical="top" wrapText="1"/>
    </xf>
    <xf numFmtId="0" fontId="16" fillId="0" borderId="0" xfId="0" applyFont="1" applyAlignment="1">
      <alignment horizontal="left" vertical="top" wrapText="1"/>
    </xf>
    <xf numFmtId="0" fontId="16" fillId="0" borderId="19" xfId="0" applyFont="1" applyBorder="1" applyAlignment="1">
      <alignment horizontal="left" vertical="top" wrapText="1"/>
    </xf>
    <xf numFmtId="0" fontId="16" fillId="0" borderId="20" xfId="0" applyFont="1" applyBorder="1" applyAlignment="1">
      <alignment horizontal="left" vertical="top" wrapText="1"/>
    </xf>
    <xf numFmtId="0" fontId="16" fillId="0" borderId="21" xfId="0" applyFont="1" applyBorder="1" applyAlignment="1">
      <alignment horizontal="left" vertical="top" wrapText="1"/>
    </xf>
    <xf numFmtId="0" fontId="16" fillId="0" borderId="22" xfId="0" applyFont="1" applyBorder="1" applyAlignment="1">
      <alignment horizontal="left" vertical="top" wrapText="1"/>
    </xf>
    <xf numFmtId="0" fontId="17" fillId="13" borderId="1" xfId="0" applyFont="1" applyFill="1" applyBorder="1" applyAlignment="1">
      <alignment horizontal="left"/>
    </xf>
    <xf numFmtId="0" fontId="26" fillId="12" borderId="1" xfId="0" applyFont="1" applyFill="1" applyBorder="1" applyAlignment="1">
      <alignment horizontal="center" vertical="center"/>
    </xf>
    <xf numFmtId="0" fontId="16" fillId="7" borderId="1" xfId="0" applyFont="1" applyFill="1" applyBorder="1" applyAlignment="1">
      <alignment horizontal="center"/>
    </xf>
    <xf numFmtId="0" fontId="17" fillId="14" borderId="1" xfId="0" applyFont="1" applyFill="1" applyBorder="1" applyAlignment="1">
      <alignment horizontal="center"/>
    </xf>
    <xf numFmtId="0" fontId="17" fillId="0" borderId="4" xfId="0" applyFont="1" applyBorder="1" applyAlignment="1">
      <alignment horizontal="center"/>
    </xf>
    <xf numFmtId="0" fontId="17" fillId="0" borderId="5" xfId="0" applyFont="1" applyBorder="1" applyAlignment="1">
      <alignment horizontal="center"/>
    </xf>
    <xf numFmtId="0" fontId="24" fillId="5" borderId="1" xfId="0" applyFont="1" applyFill="1" applyBorder="1" applyAlignment="1">
      <alignment horizontal="center"/>
    </xf>
    <xf numFmtId="0" fontId="17" fillId="0" borderId="1" xfId="0" applyFont="1" applyBorder="1" applyAlignment="1">
      <alignment horizontal="center"/>
    </xf>
    <xf numFmtId="6" fontId="17" fillId="0" borderId="4" xfId="0" applyNumberFormat="1" applyFont="1" applyBorder="1" applyAlignment="1">
      <alignment horizontal="center"/>
    </xf>
    <xf numFmtId="6" fontId="17" fillId="0" borderId="5" xfId="0" applyNumberFormat="1" applyFont="1" applyBorder="1" applyAlignment="1">
      <alignment horizontal="center"/>
    </xf>
    <xf numFmtId="0" fontId="16" fillId="23" borderId="4" xfId="0" applyFont="1" applyFill="1" applyBorder="1" applyAlignment="1">
      <alignment horizontal="center" vertical="center"/>
    </xf>
    <xf numFmtId="0" fontId="16" fillId="23" borderId="5" xfId="0" applyFont="1" applyFill="1" applyBorder="1" applyAlignment="1">
      <alignment horizontal="center" vertical="center"/>
    </xf>
    <xf numFmtId="0" fontId="23" fillId="23" borderId="4" xfId="0" applyFont="1" applyFill="1" applyBorder="1" applyAlignment="1">
      <alignment horizontal="center" vertical="center" wrapText="1"/>
    </xf>
    <xf numFmtId="0" fontId="23" fillId="23" borderId="5" xfId="0" applyFont="1" applyFill="1" applyBorder="1" applyAlignment="1">
      <alignment horizontal="center" vertical="center" wrapText="1"/>
    </xf>
    <xf numFmtId="0" fontId="26" fillId="13" borderId="7" xfId="0" applyFont="1" applyFill="1" applyBorder="1" applyAlignment="1">
      <alignment horizontal="center"/>
    </xf>
    <xf numFmtId="0" fontId="17" fillId="0" borderId="14" xfId="0" applyFont="1" applyBorder="1" applyAlignment="1">
      <alignment horizontal="center" vertical="center"/>
    </xf>
    <xf numFmtId="0" fontId="17" fillId="0" borderId="6" xfId="0" applyFont="1" applyBorder="1" applyAlignment="1">
      <alignment horizontal="center" vertical="center"/>
    </xf>
    <xf numFmtId="0" fontId="17" fillId="0" borderId="2" xfId="0" applyFont="1" applyBorder="1" applyAlignment="1">
      <alignment horizontal="center" vertical="center"/>
    </xf>
    <xf numFmtId="0" fontId="16" fillId="23" borderId="1" xfId="0" applyFont="1" applyFill="1" applyBorder="1" applyAlignment="1">
      <alignment horizontal="center" vertical="center"/>
    </xf>
    <xf numFmtId="0" fontId="16" fillId="23" borderId="1" xfId="0" applyFont="1" applyFill="1" applyBorder="1" applyAlignment="1">
      <alignment horizontal="center" vertical="center" wrapText="1"/>
    </xf>
    <xf numFmtId="0" fontId="16" fillId="13" borderId="9" xfId="0" applyFont="1" applyFill="1" applyBorder="1" applyAlignment="1">
      <alignment horizontal="center" vertical="center" wrapText="1"/>
    </xf>
    <xf numFmtId="0" fontId="16" fillId="13" borderId="0" xfId="0" applyFont="1" applyFill="1" applyAlignment="1">
      <alignment horizontal="center" vertical="center" wrapText="1"/>
    </xf>
    <xf numFmtId="165" fontId="17" fillId="0" borderId="1" xfId="0" applyNumberFormat="1" applyFont="1" applyBorder="1" applyAlignment="1">
      <alignment horizontal="center"/>
    </xf>
    <xf numFmtId="165" fontId="16" fillId="0" borderId="1" xfId="0" applyNumberFormat="1" applyFont="1" applyBorder="1" applyAlignment="1">
      <alignment horizontal="center"/>
    </xf>
    <xf numFmtId="0" fontId="16" fillId="0" borderId="1" xfId="0" applyFont="1" applyBorder="1" applyAlignment="1">
      <alignment horizontal="center"/>
    </xf>
    <xf numFmtId="0" fontId="16" fillId="7" borderId="12" xfId="0" applyFont="1" applyFill="1" applyBorder="1" applyAlignment="1">
      <alignment horizontal="center"/>
    </xf>
    <xf numFmtId="0" fontId="16" fillId="7" borderId="13" xfId="0" applyFont="1" applyFill="1" applyBorder="1" applyAlignment="1">
      <alignment horizontal="center"/>
    </xf>
    <xf numFmtId="0" fontId="24" fillId="5" borderId="2" xfId="0" applyFont="1" applyFill="1" applyBorder="1" applyAlignment="1">
      <alignment horizontal="center"/>
    </xf>
    <xf numFmtId="165" fontId="16" fillId="14" borderId="1" xfId="0" applyNumberFormat="1" applyFont="1" applyFill="1" applyBorder="1" applyAlignment="1">
      <alignment horizontal="center"/>
    </xf>
    <xf numFmtId="0" fontId="16" fillId="13" borderId="1" xfId="0" applyFont="1" applyFill="1" applyBorder="1" applyAlignment="1">
      <alignment horizontal="left" vertical="center"/>
    </xf>
    <xf numFmtId="0" fontId="17" fillId="13" borderId="1" xfId="0" applyFont="1" applyFill="1" applyBorder="1" applyAlignment="1">
      <alignment horizontal="left" vertical="center" wrapText="1"/>
    </xf>
    <xf numFmtId="0" fontId="21" fillId="0" borderId="1" xfId="0" applyFont="1" applyBorder="1" applyAlignment="1">
      <alignment horizontal="center" vertical="center"/>
    </xf>
    <xf numFmtId="0" fontId="22" fillId="0" borderId="1" xfId="0" applyFont="1" applyBorder="1" applyAlignment="1">
      <alignment horizontal="center" vertical="center"/>
    </xf>
    <xf numFmtId="6" fontId="17" fillId="11" borderId="4" xfId="0" applyNumberFormat="1" applyFont="1" applyFill="1" applyBorder="1" applyAlignment="1">
      <alignment horizontal="center"/>
    </xf>
    <xf numFmtId="6" fontId="17" fillId="11" borderId="5" xfId="0" applyNumberFormat="1" applyFont="1" applyFill="1" applyBorder="1" applyAlignment="1">
      <alignment horizont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26" fillId="12" borderId="0" xfId="0" applyFont="1" applyFill="1" applyAlignment="1">
      <alignment horizontal="center" vertical="center"/>
    </xf>
    <xf numFmtId="0" fontId="16" fillId="7" borderId="4" xfId="0" applyFont="1" applyFill="1" applyBorder="1" applyAlignment="1">
      <alignment horizontal="center"/>
    </xf>
    <xf numFmtId="0" fontId="16" fillId="7" borderId="5" xfId="0" applyFont="1" applyFill="1" applyBorder="1" applyAlignment="1">
      <alignment horizontal="center"/>
    </xf>
    <xf numFmtId="0" fontId="23" fillId="22" borderId="1" xfId="0" applyFont="1" applyFill="1" applyBorder="1" applyAlignment="1">
      <alignment horizontal="center"/>
    </xf>
    <xf numFmtId="0" fontId="24" fillId="22" borderId="1" xfId="0" applyFont="1" applyFill="1" applyBorder="1" applyAlignment="1">
      <alignment horizontal="center"/>
    </xf>
    <xf numFmtId="0" fontId="16" fillId="13" borderId="7" xfId="0" applyFont="1" applyFill="1" applyBorder="1" applyAlignment="1">
      <alignment horizontal="center"/>
    </xf>
    <xf numFmtId="165" fontId="16" fillId="11" borderId="1" xfId="0" applyNumberFormat="1" applyFont="1" applyFill="1" applyBorder="1" applyAlignment="1">
      <alignment horizontal="center"/>
    </xf>
    <xf numFmtId="0" fontId="16" fillId="11" borderId="1" xfId="0" applyFont="1" applyFill="1" applyBorder="1" applyAlignment="1">
      <alignment horizontal="center"/>
    </xf>
    <xf numFmtId="0" fontId="17" fillId="13" borderId="15" xfId="0" applyFont="1" applyFill="1" applyBorder="1" applyAlignment="1">
      <alignment horizontal="left" vertical="center"/>
    </xf>
    <xf numFmtId="0" fontId="17" fillId="13" borderId="17" xfId="0" applyFont="1" applyFill="1" applyBorder="1" applyAlignment="1">
      <alignment horizontal="left" vertical="center"/>
    </xf>
    <xf numFmtId="0" fontId="17" fillId="13" borderId="18" xfId="0" applyFont="1" applyFill="1" applyBorder="1" applyAlignment="1">
      <alignment horizontal="left" vertical="center"/>
    </xf>
    <xf numFmtId="0" fontId="17" fillId="13" borderId="19" xfId="0" applyFont="1" applyFill="1" applyBorder="1" applyAlignment="1">
      <alignment horizontal="left" vertical="center"/>
    </xf>
    <xf numFmtId="0" fontId="17" fillId="13" borderId="20" xfId="0" applyFont="1" applyFill="1" applyBorder="1" applyAlignment="1">
      <alignment horizontal="left" vertical="center"/>
    </xf>
    <xf numFmtId="0" fontId="17" fillId="13" borderId="22" xfId="0" applyFont="1" applyFill="1" applyBorder="1" applyAlignment="1">
      <alignment horizontal="left" vertical="center"/>
    </xf>
    <xf numFmtId="0" fontId="26" fillId="0" borderId="15" xfId="0" applyFont="1" applyBorder="1" applyAlignment="1">
      <alignment horizontal="left" vertical="top" wrapText="1"/>
    </xf>
    <xf numFmtId="0" fontId="26" fillId="0" borderId="16" xfId="0" applyFont="1" applyBorder="1" applyAlignment="1">
      <alignment horizontal="left" vertical="top" wrapText="1"/>
    </xf>
    <xf numFmtId="0" fontId="26" fillId="0" borderId="17" xfId="0" applyFont="1" applyBorder="1" applyAlignment="1">
      <alignment horizontal="left" vertical="top" wrapText="1"/>
    </xf>
    <xf numFmtId="0" fontId="26" fillId="0" borderId="18" xfId="0" applyFont="1" applyBorder="1" applyAlignment="1">
      <alignment horizontal="left" vertical="top" wrapText="1"/>
    </xf>
    <xf numFmtId="0" fontId="26" fillId="0" borderId="0" xfId="0" applyFont="1" applyAlignment="1">
      <alignment horizontal="left" vertical="top" wrapText="1"/>
    </xf>
    <xf numFmtId="0" fontId="26" fillId="0" borderId="19" xfId="0" applyFont="1" applyBorder="1" applyAlignment="1">
      <alignment horizontal="left" vertical="top" wrapText="1"/>
    </xf>
    <xf numFmtId="0" fontId="26" fillId="0" borderId="20" xfId="0" applyFont="1" applyBorder="1" applyAlignment="1">
      <alignment horizontal="left" vertical="top" wrapText="1"/>
    </xf>
    <xf numFmtId="0" fontId="26" fillId="0" borderId="21" xfId="0" applyFont="1" applyBorder="1" applyAlignment="1">
      <alignment horizontal="left" vertical="top" wrapText="1"/>
    </xf>
    <xf numFmtId="0" fontId="26" fillId="0" borderId="22" xfId="0" applyFont="1" applyBorder="1" applyAlignment="1">
      <alignment horizontal="left" vertical="top" wrapText="1"/>
    </xf>
    <xf numFmtId="0" fontId="17" fillId="13" borderId="1" xfId="0" applyFont="1" applyFill="1" applyBorder="1" applyAlignment="1">
      <alignment horizontal="left" vertical="center"/>
    </xf>
    <xf numFmtId="0" fontId="24" fillId="3" borderId="4" xfId="0" applyFont="1" applyFill="1" applyBorder="1" applyAlignment="1">
      <alignment horizontal="center" vertical="center"/>
    </xf>
    <xf numFmtId="0" fontId="24" fillId="3" borderId="11" xfId="0" applyFont="1" applyFill="1" applyBorder="1" applyAlignment="1">
      <alignment horizontal="center" vertical="center"/>
    </xf>
    <xf numFmtId="0" fontId="24" fillId="3" borderId="5" xfId="0" applyFont="1" applyFill="1" applyBorder="1" applyAlignment="1">
      <alignment horizontal="center" vertical="center"/>
    </xf>
    <xf numFmtId="165" fontId="17" fillId="0" borderId="14" xfId="0" applyNumberFormat="1" applyFont="1" applyBorder="1" applyAlignment="1">
      <alignment horizontal="center" vertical="center"/>
    </xf>
    <xf numFmtId="165" fontId="17" fillId="0" borderId="6" xfId="0" applyNumberFormat="1" applyFont="1" applyBorder="1" applyAlignment="1">
      <alignment horizontal="center" vertical="center"/>
    </xf>
    <xf numFmtId="165" fontId="17" fillId="0" borderId="2" xfId="0" applyNumberFormat="1" applyFont="1" applyBorder="1" applyAlignment="1">
      <alignment horizontal="center" vertical="center"/>
    </xf>
    <xf numFmtId="0" fontId="17" fillId="0" borderId="34" xfId="0" applyFont="1" applyBorder="1" applyAlignment="1">
      <alignment horizontal="center" vertical="center"/>
    </xf>
    <xf numFmtId="0" fontId="17" fillId="14" borderId="29" xfId="0" applyFont="1" applyFill="1" applyBorder="1" applyAlignment="1">
      <alignment horizontal="center" vertical="center"/>
    </xf>
    <xf numFmtId="0" fontId="17" fillId="0" borderId="29" xfId="0" applyFont="1" applyBorder="1" applyAlignment="1">
      <alignment horizontal="center" vertical="center"/>
    </xf>
    <xf numFmtId="0" fontId="17" fillId="0" borderId="30" xfId="0" applyFont="1" applyBorder="1" applyAlignment="1">
      <alignment horizontal="center" vertical="center"/>
    </xf>
    <xf numFmtId="165" fontId="23" fillId="22" borderId="14" xfId="0" applyNumberFormat="1" applyFont="1" applyFill="1" applyBorder="1" applyAlignment="1">
      <alignment horizontal="center" vertical="center"/>
    </xf>
    <xf numFmtId="165" fontId="23" fillId="22" borderId="2" xfId="0" applyNumberFormat="1" applyFont="1" applyFill="1" applyBorder="1" applyAlignment="1">
      <alignment horizontal="center" vertical="center"/>
    </xf>
    <xf numFmtId="165" fontId="16" fillId="0" borderId="12" xfId="0" applyNumberFormat="1" applyFont="1" applyBorder="1" applyAlignment="1">
      <alignment horizontal="center"/>
    </xf>
    <xf numFmtId="165" fontId="16" fillId="0" borderId="13" xfId="0" applyNumberFormat="1" applyFont="1" applyBorder="1" applyAlignment="1">
      <alignment horizontal="center"/>
    </xf>
    <xf numFmtId="165" fontId="16" fillId="11" borderId="12" xfId="0" applyNumberFormat="1" applyFont="1" applyFill="1" applyBorder="1" applyAlignment="1">
      <alignment horizontal="center"/>
    </xf>
    <xf numFmtId="165" fontId="16" fillId="11" borderId="13" xfId="0" applyNumberFormat="1" applyFont="1" applyFill="1" applyBorder="1" applyAlignment="1">
      <alignment horizontal="center"/>
    </xf>
    <xf numFmtId="0" fontId="26" fillId="13" borderId="35" xfId="0" applyFont="1" applyFill="1" applyBorder="1" applyAlignment="1">
      <alignment horizontal="center" vertical="center"/>
    </xf>
    <xf numFmtId="0" fontId="26" fillId="13" borderId="36" xfId="0" applyFont="1" applyFill="1" applyBorder="1" applyAlignment="1">
      <alignment horizontal="center" vertical="center"/>
    </xf>
    <xf numFmtId="0" fontId="26" fillId="13" borderId="37" xfId="0" applyFont="1" applyFill="1" applyBorder="1" applyAlignment="1">
      <alignment horizontal="center" vertical="center"/>
    </xf>
    <xf numFmtId="0" fontId="24" fillId="22" borderId="27" xfId="0" applyFont="1" applyFill="1" applyBorder="1" applyAlignment="1">
      <alignment horizontal="center"/>
    </xf>
    <xf numFmtId="165" fontId="17" fillId="0" borderId="29" xfId="0" applyNumberFormat="1" applyFont="1" applyBorder="1" applyAlignment="1">
      <alignment horizontal="center"/>
    </xf>
    <xf numFmtId="165" fontId="17" fillId="11" borderId="29" xfId="0" applyNumberFormat="1" applyFont="1" applyFill="1" applyBorder="1" applyAlignment="1">
      <alignment horizontal="center"/>
    </xf>
    <xf numFmtId="165" fontId="17" fillId="11" borderId="30" xfId="0" applyNumberFormat="1" applyFont="1" applyFill="1" applyBorder="1" applyAlignment="1">
      <alignment horizontal="center"/>
    </xf>
    <xf numFmtId="0" fontId="26" fillId="0" borderId="16" xfId="0" applyFont="1" applyBorder="1" applyAlignment="1">
      <alignment horizontal="left" vertical="top"/>
    </xf>
    <xf numFmtId="0" fontId="26" fillId="0" borderId="17" xfId="0" applyFont="1" applyBorder="1" applyAlignment="1">
      <alignment horizontal="left" vertical="top"/>
    </xf>
    <xf numFmtId="0" fontId="26" fillId="0" borderId="18" xfId="0" applyFont="1" applyBorder="1" applyAlignment="1">
      <alignment horizontal="left" vertical="top"/>
    </xf>
    <xf numFmtId="0" fontId="26" fillId="0" borderId="0" xfId="0" applyFont="1" applyAlignment="1">
      <alignment horizontal="left" vertical="top"/>
    </xf>
    <xf numFmtId="0" fontId="26" fillId="0" borderId="19" xfId="0" applyFont="1" applyBorder="1" applyAlignment="1">
      <alignment horizontal="left" vertical="top"/>
    </xf>
    <xf numFmtId="0" fontId="26" fillId="0" borderId="20" xfId="0" applyFont="1" applyBorder="1" applyAlignment="1">
      <alignment horizontal="left" vertical="top"/>
    </xf>
    <xf numFmtId="0" fontId="26" fillId="0" borderId="21" xfId="0" applyFont="1" applyBorder="1" applyAlignment="1">
      <alignment horizontal="left" vertical="top"/>
    </xf>
    <xf numFmtId="0" fontId="26" fillId="0" borderId="22" xfId="0" applyFont="1" applyBorder="1" applyAlignment="1">
      <alignment horizontal="left" vertical="top"/>
    </xf>
    <xf numFmtId="0" fontId="26" fillId="12" borderId="23" xfId="0" applyFont="1" applyFill="1" applyBorder="1" applyAlignment="1">
      <alignment horizontal="center" vertical="center"/>
    </xf>
    <xf numFmtId="0" fontId="26" fillId="12" borderId="24" xfId="0" applyFont="1" applyFill="1" applyBorder="1" applyAlignment="1">
      <alignment horizontal="center" vertical="center"/>
    </xf>
    <xf numFmtId="0" fontId="26" fillId="12" borderId="25" xfId="0" applyFont="1" applyFill="1" applyBorder="1" applyAlignment="1">
      <alignment horizontal="center" vertical="center"/>
    </xf>
    <xf numFmtId="0" fontId="16" fillId="13" borderId="26" xfId="0" applyFont="1" applyFill="1" applyBorder="1" applyAlignment="1">
      <alignment horizontal="left" vertical="center"/>
    </xf>
    <xf numFmtId="0" fontId="17" fillId="13" borderId="31" xfId="0" applyFont="1" applyFill="1" applyBorder="1" applyAlignment="1">
      <alignment horizontal="left" vertical="center"/>
    </xf>
    <xf numFmtId="0" fontId="17" fillId="13" borderId="26" xfId="0" applyFont="1" applyFill="1" applyBorder="1" applyAlignment="1">
      <alignment horizontal="left" vertical="center" wrapText="1"/>
    </xf>
    <xf numFmtId="0" fontId="22" fillId="0" borderId="27" xfId="0" applyFont="1" applyBorder="1" applyAlignment="1">
      <alignment horizontal="center" vertical="center"/>
    </xf>
    <xf numFmtId="0" fontId="17" fillId="13" borderId="26" xfId="0" applyFont="1" applyFill="1" applyBorder="1" applyAlignment="1">
      <alignment horizontal="left" vertical="center"/>
    </xf>
    <xf numFmtId="165" fontId="16" fillId="7" borderId="14" xfId="0" applyNumberFormat="1" applyFont="1" applyFill="1" applyBorder="1" applyAlignment="1">
      <alignment horizontal="center" vertical="center"/>
    </xf>
    <xf numFmtId="165" fontId="16" fillId="7" borderId="2" xfId="0" applyNumberFormat="1" applyFont="1" applyFill="1" applyBorder="1" applyAlignment="1">
      <alignment horizontal="center" vertical="center"/>
    </xf>
    <xf numFmtId="165" fontId="16" fillId="22" borderId="1" xfId="0" applyNumberFormat="1" applyFont="1" applyFill="1" applyBorder="1" applyAlignment="1">
      <alignment horizontal="center" vertical="center"/>
    </xf>
    <xf numFmtId="165" fontId="23" fillId="22" borderId="4" xfId="0" applyNumberFormat="1" applyFont="1" applyFill="1" applyBorder="1" applyAlignment="1">
      <alignment horizontal="center" vertical="center"/>
    </xf>
    <xf numFmtId="165" fontId="23" fillId="22" borderId="11" xfId="0" applyNumberFormat="1" applyFont="1" applyFill="1" applyBorder="1" applyAlignment="1">
      <alignment horizontal="center" vertical="center"/>
    </xf>
    <xf numFmtId="165" fontId="23" fillId="22" borderId="5" xfId="0" applyNumberFormat="1" applyFont="1" applyFill="1" applyBorder="1" applyAlignment="1">
      <alignment horizontal="center" vertical="center"/>
    </xf>
    <xf numFmtId="0" fontId="23" fillId="23" borderId="12" xfId="0" applyFont="1" applyFill="1" applyBorder="1" applyAlignment="1">
      <alignment horizontal="center" vertical="center" wrapText="1"/>
    </xf>
    <xf numFmtId="0" fontId="23" fillId="23" borderId="7" xfId="0" applyFont="1" applyFill="1" applyBorder="1" applyAlignment="1">
      <alignment horizontal="center" vertical="center" wrapText="1"/>
    </xf>
    <xf numFmtId="0" fontId="23" fillId="23" borderId="13" xfId="0" applyFont="1" applyFill="1" applyBorder="1" applyAlignment="1">
      <alignment horizontal="center" vertical="center" wrapText="1"/>
    </xf>
    <xf numFmtId="0" fontId="17" fillId="14" borderId="1" xfId="0" applyFont="1" applyFill="1" applyBorder="1" applyAlignment="1">
      <alignment horizontal="center" vertical="center"/>
    </xf>
    <xf numFmtId="0" fontId="17" fillId="0" borderId="1" xfId="0" applyFont="1" applyBorder="1" applyAlignment="1">
      <alignment horizontal="center" vertical="center"/>
    </xf>
    <xf numFmtId="0" fontId="17" fillId="0" borderId="27" xfId="0" applyFont="1" applyBorder="1" applyAlignment="1">
      <alignment horizontal="center" vertical="center"/>
    </xf>
    <xf numFmtId="6" fontId="17" fillId="0" borderId="4" xfId="0" applyNumberFormat="1" applyFont="1" applyBorder="1" applyAlignment="1">
      <alignment horizontal="center" vertical="center"/>
    </xf>
    <xf numFmtId="6" fontId="17" fillId="0" borderId="34" xfId="0" applyNumberFormat="1" applyFont="1" applyBorder="1" applyAlignment="1">
      <alignment horizontal="center" vertical="center"/>
    </xf>
    <xf numFmtId="0" fontId="17" fillId="0" borderId="4" xfId="0" applyFont="1" applyBorder="1" applyAlignment="1">
      <alignment horizontal="center" vertical="center" wrapText="1"/>
    </xf>
    <xf numFmtId="0" fontId="26" fillId="12" borderId="15" xfId="0" applyFont="1" applyFill="1" applyBorder="1" applyAlignment="1">
      <alignment horizontal="center" vertical="center"/>
    </xf>
    <xf numFmtId="0" fontId="26" fillId="12" borderId="16" xfId="0" applyFont="1" applyFill="1" applyBorder="1" applyAlignment="1">
      <alignment horizontal="center" vertical="center"/>
    </xf>
    <xf numFmtId="0" fontId="26" fillId="12" borderId="17" xfId="0" applyFont="1" applyFill="1" applyBorder="1" applyAlignment="1">
      <alignment horizontal="center" vertical="center"/>
    </xf>
    <xf numFmtId="0" fontId="16" fillId="7" borderId="31" xfId="0" applyFont="1" applyFill="1" applyBorder="1" applyAlignment="1">
      <alignment horizontal="center"/>
    </xf>
    <xf numFmtId="0" fontId="23" fillId="22" borderId="27" xfId="0" applyFont="1" applyFill="1" applyBorder="1" applyAlignment="1">
      <alignment horizontal="center"/>
    </xf>
    <xf numFmtId="0" fontId="26" fillId="13" borderId="38" xfId="0" applyFont="1" applyFill="1" applyBorder="1" applyAlignment="1">
      <alignment horizontal="center" vertical="center"/>
    </xf>
    <xf numFmtId="0" fontId="26" fillId="13" borderId="39" xfId="0" applyFont="1" applyFill="1" applyBorder="1" applyAlignment="1">
      <alignment horizontal="center" vertical="center"/>
    </xf>
    <xf numFmtId="0" fontId="26" fillId="13" borderId="40" xfId="0" applyFont="1" applyFill="1" applyBorder="1" applyAlignment="1">
      <alignment horizontal="center" vertical="center"/>
    </xf>
    <xf numFmtId="0" fontId="16" fillId="23" borderId="12" xfId="0" applyFont="1" applyFill="1" applyBorder="1" applyAlignment="1">
      <alignment horizontal="center" vertical="center"/>
    </xf>
    <xf numFmtId="0" fontId="16" fillId="23" borderId="13" xfId="0" applyFont="1" applyFill="1" applyBorder="1" applyAlignment="1">
      <alignment horizontal="center" vertical="center"/>
    </xf>
    <xf numFmtId="0" fontId="16" fillId="23" borderId="2" xfId="0" applyFont="1" applyFill="1" applyBorder="1" applyAlignment="1">
      <alignment horizontal="center" vertical="center" wrapText="1"/>
    </xf>
    <xf numFmtId="0" fontId="16" fillId="23" borderId="2" xfId="0" applyFont="1" applyFill="1" applyBorder="1" applyAlignment="1">
      <alignment horizontal="center" vertical="center"/>
    </xf>
    <xf numFmtId="0" fontId="24" fillId="4" borderId="1" xfId="0" applyFont="1" applyFill="1" applyBorder="1" applyAlignment="1">
      <alignment horizontal="center"/>
    </xf>
    <xf numFmtId="0" fontId="16" fillId="13" borderId="1" xfId="0" applyFont="1" applyFill="1" applyBorder="1" applyAlignment="1">
      <alignment horizontal="center" vertical="center"/>
    </xf>
    <xf numFmtId="0" fontId="17" fillId="0" borderId="1" xfId="0" applyFont="1" applyBorder="1" applyAlignment="1">
      <alignment horizontal="center" vertical="center" wrapText="1"/>
    </xf>
    <xf numFmtId="0" fontId="17" fillId="0" borderId="1" xfId="0" quotePrefix="1" applyFont="1" applyBorder="1" applyAlignment="1">
      <alignment horizontal="left" vertical="center" wrapText="1"/>
    </xf>
    <xf numFmtId="0" fontId="16" fillId="0" borderId="23" xfId="0" applyFont="1" applyBorder="1" applyAlignment="1">
      <alignment horizontal="left" vertical="top" wrapText="1"/>
    </xf>
    <xf numFmtId="0" fontId="16" fillId="0" borderId="24" xfId="0" applyFont="1" applyBorder="1" applyAlignment="1">
      <alignment horizontal="left" vertical="top" wrapText="1"/>
    </xf>
    <xf numFmtId="0" fontId="16" fillId="0" borderId="25" xfId="0" applyFont="1" applyBorder="1" applyAlignment="1">
      <alignment horizontal="left" vertical="top" wrapText="1"/>
    </xf>
    <xf numFmtId="0" fontId="16" fillId="0" borderId="26" xfId="0" applyFont="1" applyBorder="1" applyAlignment="1">
      <alignment horizontal="left" vertical="top" wrapText="1"/>
    </xf>
    <xf numFmtId="0" fontId="16" fillId="0" borderId="1" xfId="0" applyFont="1" applyBorder="1" applyAlignment="1">
      <alignment horizontal="left" vertical="top" wrapText="1"/>
    </xf>
    <xf numFmtId="0" fontId="16" fillId="0" borderId="27" xfId="0" applyFont="1" applyBorder="1" applyAlignment="1">
      <alignment horizontal="left" vertical="top" wrapText="1"/>
    </xf>
    <xf numFmtId="0" fontId="16" fillId="0" borderId="28" xfId="0" applyFont="1" applyBorder="1" applyAlignment="1">
      <alignment horizontal="left" vertical="top" wrapText="1"/>
    </xf>
    <xf numFmtId="0" fontId="16" fillId="0" borderId="29" xfId="0" applyFont="1" applyBorder="1" applyAlignment="1">
      <alignment horizontal="left" vertical="top" wrapText="1"/>
    </xf>
    <xf numFmtId="0" fontId="16" fillId="0" borderId="30" xfId="0" applyFont="1" applyBorder="1" applyAlignment="1">
      <alignment horizontal="left" vertical="top" wrapText="1"/>
    </xf>
    <xf numFmtId="165" fontId="17" fillId="11" borderId="1" xfId="0" applyNumberFormat="1" applyFont="1" applyFill="1" applyBorder="1" applyAlignment="1">
      <alignment horizontal="center"/>
    </xf>
    <xf numFmtId="0" fontId="16" fillId="13" borderId="1" xfId="0" applyFont="1" applyFill="1" applyBorder="1" applyAlignment="1">
      <alignment horizontal="left" vertical="top"/>
    </xf>
    <xf numFmtId="0" fontId="17" fillId="13" borderId="1" xfId="0" applyFont="1" applyFill="1" applyBorder="1" applyAlignment="1">
      <alignment horizontal="left" vertical="top" wrapText="1"/>
    </xf>
    <xf numFmtId="0" fontId="21" fillId="0" borderId="1" xfId="0" applyFont="1" applyBorder="1" applyAlignment="1">
      <alignment horizontal="center" vertical="top"/>
    </xf>
    <xf numFmtId="0" fontId="22" fillId="0" borderId="1" xfId="0" applyFont="1" applyBorder="1" applyAlignment="1">
      <alignment horizontal="center" vertical="top"/>
    </xf>
    <xf numFmtId="0" fontId="26" fillId="13" borderId="1" xfId="0" applyFont="1" applyFill="1" applyBorder="1" applyAlignment="1">
      <alignment horizontal="center"/>
    </xf>
    <xf numFmtId="0" fontId="16" fillId="23" borderId="4" xfId="0" applyFont="1" applyFill="1" applyBorder="1" applyAlignment="1">
      <alignment horizontal="center" vertical="center" wrapText="1"/>
    </xf>
    <xf numFmtId="0" fontId="16" fillId="23" borderId="5" xfId="0" applyFont="1" applyFill="1" applyBorder="1" applyAlignment="1">
      <alignment horizontal="center" vertical="center" wrapText="1"/>
    </xf>
    <xf numFmtId="0" fontId="1" fillId="16" borderId="8" xfId="0" applyFont="1" applyFill="1" applyBorder="1" applyAlignment="1" applyProtection="1">
      <alignment horizontal="center" vertical="center"/>
      <protection locked="0"/>
    </xf>
    <xf numFmtId="0" fontId="1" fillId="16" borderId="9" xfId="0" applyFont="1" applyFill="1" applyBorder="1" applyAlignment="1" applyProtection="1">
      <alignment horizontal="center" vertical="center"/>
      <protection locked="0"/>
    </xf>
    <xf numFmtId="0" fontId="1" fillId="16" borderId="8" xfId="0" applyFont="1" applyFill="1" applyBorder="1" applyAlignment="1" applyProtection="1">
      <alignment horizontal="center" vertical="center" wrapText="1"/>
      <protection locked="0"/>
    </xf>
    <xf numFmtId="0" fontId="1" fillId="16" borderId="9" xfId="0" applyFont="1" applyFill="1" applyBorder="1" applyAlignment="1" applyProtection="1">
      <alignment horizontal="center" vertical="center" wrapText="1"/>
      <protection locked="0"/>
    </xf>
    <xf numFmtId="0" fontId="12" fillId="19" borderId="4" xfId="3" applyFont="1" applyFill="1" applyBorder="1" applyAlignment="1">
      <alignment horizontal="center" wrapText="1"/>
    </xf>
    <xf numFmtId="0" fontId="12" fillId="19" borderId="5" xfId="3" applyFont="1" applyFill="1" applyBorder="1" applyAlignment="1">
      <alignment horizontal="center" wrapText="1"/>
    </xf>
    <xf numFmtId="0" fontId="1" fillId="16" borderId="10" xfId="0" applyFont="1" applyFill="1" applyBorder="1" applyAlignment="1" applyProtection="1">
      <alignment horizontal="center" vertical="center"/>
      <protection locked="0"/>
    </xf>
  </cellXfs>
  <cellStyles count="5">
    <cellStyle name="Comma" xfId="1" builtinId="3"/>
    <cellStyle name="Comma 3 2" xfId="4" xr:uid="{1C43F98A-2357-4859-A19B-8480799B074C}"/>
    <cellStyle name="Normal" xfId="0" builtinId="0"/>
    <cellStyle name="Normal 2" xfId="3" xr:uid="{2177B378-E993-4BFD-929C-60B796400DDB}"/>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4</xdr:col>
      <xdr:colOff>112058</xdr:colOff>
      <xdr:row>22</xdr:row>
      <xdr:rowOff>466912</xdr:rowOff>
    </xdr:from>
    <xdr:to>
      <xdr:col>4</xdr:col>
      <xdr:colOff>4697997</xdr:colOff>
      <xdr:row>22</xdr:row>
      <xdr:rowOff>1643530</xdr:rowOff>
    </xdr:to>
    <xdr:pic>
      <xdr:nvPicPr>
        <xdr:cNvPr id="3" name="Picture 2">
          <a:extLst>
            <a:ext uri="{FF2B5EF4-FFF2-40B4-BE49-F238E27FC236}">
              <a16:creationId xmlns:a16="http://schemas.microsoft.com/office/drawing/2014/main" id="{9E78F76E-C001-DB8C-2866-7F108DCE3B84}"/>
            </a:ext>
          </a:extLst>
        </xdr:cNvPr>
        <xdr:cNvPicPr>
          <a:picLocks noChangeAspect="1"/>
        </xdr:cNvPicPr>
      </xdr:nvPicPr>
      <xdr:blipFill>
        <a:blip xmlns:r="http://schemas.openxmlformats.org/officeDocument/2006/relationships" r:embed="rId1"/>
        <a:stretch>
          <a:fillRect/>
        </a:stretch>
      </xdr:blipFill>
      <xdr:spPr>
        <a:xfrm>
          <a:off x="9291543" y="6396691"/>
          <a:ext cx="4585939" cy="1176618"/>
        </a:xfrm>
        <a:prstGeom prst="rect">
          <a:avLst/>
        </a:prstGeom>
      </xdr:spPr>
    </xdr:pic>
    <xdr:clientData/>
  </xdr:twoCellAnchor>
  <xdr:twoCellAnchor editAs="oneCell">
    <xdr:from>
      <xdr:col>5</xdr:col>
      <xdr:colOff>833437</xdr:colOff>
      <xdr:row>10</xdr:row>
      <xdr:rowOff>254001</xdr:rowOff>
    </xdr:from>
    <xdr:to>
      <xdr:col>5</xdr:col>
      <xdr:colOff>2532062</xdr:colOff>
      <xdr:row>10</xdr:row>
      <xdr:rowOff>745570</xdr:rowOff>
    </xdr:to>
    <xdr:pic>
      <xdr:nvPicPr>
        <xdr:cNvPr id="13" name="Picture 3">
          <a:extLst>
            <a:ext uri="{FF2B5EF4-FFF2-40B4-BE49-F238E27FC236}">
              <a16:creationId xmlns:a16="http://schemas.microsoft.com/office/drawing/2014/main" id="{65A18714-FB9A-A46B-9FB1-873386D1FB38}"/>
            </a:ext>
          </a:extLst>
        </xdr:cNvPr>
        <xdr:cNvPicPr>
          <a:picLocks noChangeAspect="1"/>
        </xdr:cNvPicPr>
      </xdr:nvPicPr>
      <xdr:blipFill>
        <a:blip xmlns:r="http://schemas.openxmlformats.org/officeDocument/2006/relationships" r:embed="rId2"/>
        <a:stretch>
          <a:fillRect/>
        </a:stretch>
      </xdr:blipFill>
      <xdr:spPr>
        <a:xfrm>
          <a:off x="11699875" y="2547939"/>
          <a:ext cx="1698625" cy="490448"/>
        </a:xfrm>
        <a:prstGeom prst="rect">
          <a:avLst/>
        </a:prstGeom>
      </xdr:spPr>
    </xdr:pic>
    <xdr:clientData/>
  </xdr:twoCellAnchor>
  <xdr:twoCellAnchor editAs="oneCell">
    <xdr:from>
      <xdr:col>5</xdr:col>
      <xdr:colOff>63499</xdr:colOff>
      <xdr:row>22</xdr:row>
      <xdr:rowOff>575701</xdr:rowOff>
    </xdr:from>
    <xdr:to>
      <xdr:col>5</xdr:col>
      <xdr:colOff>3235204</xdr:colOff>
      <xdr:row>22</xdr:row>
      <xdr:rowOff>1285874</xdr:rowOff>
    </xdr:to>
    <xdr:pic>
      <xdr:nvPicPr>
        <xdr:cNvPr id="21" name="Picture 4">
          <a:extLst>
            <a:ext uri="{FF2B5EF4-FFF2-40B4-BE49-F238E27FC236}">
              <a16:creationId xmlns:a16="http://schemas.microsoft.com/office/drawing/2014/main" id="{12944D8D-4431-4CCC-0B84-811A05A8C2E8}"/>
            </a:ext>
          </a:extLst>
        </xdr:cNvPr>
        <xdr:cNvPicPr>
          <a:picLocks noChangeAspect="1"/>
        </xdr:cNvPicPr>
      </xdr:nvPicPr>
      <xdr:blipFill>
        <a:blip xmlns:r="http://schemas.openxmlformats.org/officeDocument/2006/relationships" r:embed="rId3"/>
        <a:stretch>
          <a:fillRect/>
        </a:stretch>
      </xdr:blipFill>
      <xdr:spPr>
        <a:xfrm>
          <a:off x="10929937" y="10108639"/>
          <a:ext cx="3171705" cy="710173"/>
        </a:xfrm>
        <a:prstGeom prst="rect">
          <a:avLst/>
        </a:prstGeom>
      </xdr:spPr>
    </xdr:pic>
    <xdr:clientData/>
  </xdr:twoCellAnchor>
  <xdr:twoCellAnchor editAs="oneCell">
    <xdr:from>
      <xdr:col>5</xdr:col>
      <xdr:colOff>79375</xdr:colOff>
      <xdr:row>8</xdr:row>
      <xdr:rowOff>460374</xdr:rowOff>
    </xdr:from>
    <xdr:to>
      <xdr:col>5</xdr:col>
      <xdr:colOff>3270250</xdr:colOff>
      <xdr:row>8</xdr:row>
      <xdr:rowOff>936789</xdr:rowOff>
    </xdr:to>
    <xdr:pic>
      <xdr:nvPicPr>
        <xdr:cNvPr id="32" name="Picture 5">
          <a:extLst>
            <a:ext uri="{FF2B5EF4-FFF2-40B4-BE49-F238E27FC236}">
              <a16:creationId xmlns:a16="http://schemas.microsoft.com/office/drawing/2014/main" id="{06D4DDA3-4A11-A975-9D33-888BAD20650A}"/>
            </a:ext>
          </a:extLst>
        </xdr:cNvPr>
        <xdr:cNvPicPr>
          <a:picLocks noChangeAspect="1"/>
        </xdr:cNvPicPr>
      </xdr:nvPicPr>
      <xdr:blipFill>
        <a:blip xmlns:r="http://schemas.openxmlformats.org/officeDocument/2006/relationships" r:embed="rId4"/>
        <a:stretch>
          <a:fillRect/>
        </a:stretch>
      </xdr:blipFill>
      <xdr:spPr>
        <a:xfrm>
          <a:off x="10945813" y="2190749"/>
          <a:ext cx="3190875" cy="476415"/>
        </a:xfrm>
        <a:prstGeom prst="rect">
          <a:avLst/>
        </a:prstGeom>
      </xdr:spPr>
    </xdr:pic>
    <xdr:clientData/>
  </xdr:twoCellAnchor>
  <xdr:twoCellAnchor editAs="oneCell">
    <xdr:from>
      <xdr:col>7</xdr:col>
      <xdr:colOff>214312</xdr:colOff>
      <xdr:row>8</xdr:row>
      <xdr:rowOff>300824</xdr:rowOff>
    </xdr:from>
    <xdr:to>
      <xdr:col>7</xdr:col>
      <xdr:colOff>3190875</xdr:colOff>
      <xdr:row>8</xdr:row>
      <xdr:rowOff>895121</xdr:rowOff>
    </xdr:to>
    <xdr:pic>
      <xdr:nvPicPr>
        <xdr:cNvPr id="38" name="Picture 6">
          <a:extLst>
            <a:ext uri="{FF2B5EF4-FFF2-40B4-BE49-F238E27FC236}">
              <a16:creationId xmlns:a16="http://schemas.microsoft.com/office/drawing/2014/main" id="{919D022D-A33C-F54D-407E-E722389C32B0}"/>
            </a:ext>
          </a:extLst>
        </xdr:cNvPr>
        <xdr:cNvPicPr>
          <a:picLocks noChangeAspect="1"/>
        </xdr:cNvPicPr>
      </xdr:nvPicPr>
      <xdr:blipFill>
        <a:blip xmlns:r="http://schemas.openxmlformats.org/officeDocument/2006/relationships" r:embed="rId5"/>
        <a:stretch>
          <a:fillRect/>
        </a:stretch>
      </xdr:blipFill>
      <xdr:spPr>
        <a:xfrm>
          <a:off x="14382750" y="2031199"/>
          <a:ext cx="2976563" cy="594297"/>
        </a:xfrm>
        <a:prstGeom prst="rect">
          <a:avLst/>
        </a:prstGeom>
      </xdr:spPr>
    </xdr:pic>
    <xdr:clientData/>
  </xdr:twoCellAnchor>
  <xdr:twoCellAnchor editAs="oneCell">
    <xdr:from>
      <xdr:col>11</xdr:col>
      <xdr:colOff>67620</xdr:colOff>
      <xdr:row>8</xdr:row>
      <xdr:rowOff>34996</xdr:rowOff>
    </xdr:from>
    <xdr:to>
      <xdr:col>11</xdr:col>
      <xdr:colOff>3009465</xdr:colOff>
      <xdr:row>8</xdr:row>
      <xdr:rowOff>842596</xdr:rowOff>
    </xdr:to>
    <xdr:pic>
      <xdr:nvPicPr>
        <xdr:cNvPr id="2" name="Picture 1">
          <a:extLst>
            <a:ext uri="{FF2B5EF4-FFF2-40B4-BE49-F238E27FC236}">
              <a16:creationId xmlns:a16="http://schemas.microsoft.com/office/drawing/2014/main" id="{852E203C-3D2A-46C1-85B8-41089B0623DD}"/>
            </a:ext>
          </a:extLst>
        </xdr:cNvPr>
        <xdr:cNvPicPr>
          <a:picLocks noChangeAspect="1"/>
        </xdr:cNvPicPr>
      </xdr:nvPicPr>
      <xdr:blipFill>
        <a:blip xmlns:r="http://schemas.openxmlformats.org/officeDocument/2006/relationships" r:embed="rId6"/>
        <a:stretch>
          <a:fillRect/>
        </a:stretch>
      </xdr:blipFill>
      <xdr:spPr>
        <a:xfrm>
          <a:off x="20753966" y="1744611"/>
          <a:ext cx="2941845" cy="807600"/>
        </a:xfrm>
        <a:prstGeom prst="rect">
          <a:avLst/>
        </a:prstGeom>
      </xdr:spPr>
    </xdr:pic>
    <xdr:clientData/>
  </xdr:twoCellAnchor>
  <xdr:twoCellAnchor editAs="oneCell">
    <xdr:from>
      <xdr:col>12</xdr:col>
      <xdr:colOff>556306</xdr:colOff>
      <xdr:row>9</xdr:row>
      <xdr:rowOff>31885</xdr:rowOff>
    </xdr:from>
    <xdr:to>
      <xdr:col>12</xdr:col>
      <xdr:colOff>3663462</xdr:colOff>
      <xdr:row>9</xdr:row>
      <xdr:rowOff>775302</xdr:rowOff>
    </xdr:to>
    <xdr:pic>
      <xdr:nvPicPr>
        <xdr:cNvPr id="5" name="Picture 4">
          <a:extLst>
            <a:ext uri="{FF2B5EF4-FFF2-40B4-BE49-F238E27FC236}">
              <a16:creationId xmlns:a16="http://schemas.microsoft.com/office/drawing/2014/main" id="{AE4A89DB-EC21-40CC-B8BF-EFCD02C5B92D}"/>
            </a:ext>
          </a:extLst>
        </xdr:cNvPr>
        <xdr:cNvPicPr>
          <a:picLocks noChangeAspect="1"/>
        </xdr:cNvPicPr>
      </xdr:nvPicPr>
      <xdr:blipFill rotWithShape="1">
        <a:blip xmlns:r="http://schemas.openxmlformats.org/officeDocument/2006/relationships" r:embed="rId7"/>
        <a:srcRect r="22346" b="38261"/>
        <a:stretch>
          <a:fillRect/>
        </a:stretch>
      </xdr:blipFill>
      <xdr:spPr>
        <a:xfrm>
          <a:off x="24478710" y="2742847"/>
          <a:ext cx="3107156" cy="743417"/>
        </a:xfrm>
        <a:prstGeom prst="rect">
          <a:avLst/>
        </a:prstGeom>
      </xdr:spPr>
    </xdr:pic>
    <xdr:clientData/>
  </xdr:twoCellAnchor>
  <xdr:twoCellAnchor editAs="oneCell">
    <xdr:from>
      <xdr:col>12</xdr:col>
      <xdr:colOff>232019</xdr:colOff>
      <xdr:row>8</xdr:row>
      <xdr:rowOff>134327</xdr:rowOff>
    </xdr:from>
    <xdr:to>
      <xdr:col>12</xdr:col>
      <xdr:colOff>4119493</xdr:colOff>
      <xdr:row>8</xdr:row>
      <xdr:rowOff>839883</xdr:rowOff>
    </xdr:to>
    <xdr:pic>
      <xdr:nvPicPr>
        <xdr:cNvPr id="7" name="Picture 6">
          <a:extLst>
            <a:ext uri="{FF2B5EF4-FFF2-40B4-BE49-F238E27FC236}">
              <a16:creationId xmlns:a16="http://schemas.microsoft.com/office/drawing/2014/main" id="{5167E045-36DD-4360-90EB-50939EBE7AEF}"/>
            </a:ext>
          </a:extLst>
        </xdr:cNvPr>
        <xdr:cNvPicPr>
          <a:picLocks noChangeAspect="1"/>
        </xdr:cNvPicPr>
      </xdr:nvPicPr>
      <xdr:blipFill>
        <a:blip xmlns:r="http://schemas.openxmlformats.org/officeDocument/2006/relationships" r:embed="rId8"/>
        <a:stretch>
          <a:fillRect/>
        </a:stretch>
      </xdr:blipFill>
      <xdr:spPr>
        <a:xfrm>
          <a:off x="24154423" y="1843942"/>
          <a:ext cx="3887474" cy="705556"/>
        </a:xfrm>
        <a:prstGeom prst="rect">
          <a:avLst/>
        </a:prstGeom>
      </xdr:spPr>
    </xdr:pic>
    <xdr:clientData/>
  </xdr:twoCellAnchor>
  <xdr:twoCellAnchor editAs="oneCell">
    <xdr:from>
      <xdr:col>12</xdr:col>
      <xdr:colOff>1042358</xdr:colOff>
      <xdr:row>18</xdr:row>
      <xdr:rowOff>635000</xdr:rowOff>
    </xdr:from>
    <xdr:to>
      <xdr:col>12</xdr:col>
      <xdr:colOff>3723469</xdr:colOff>
      <xdr:row>18</xdr:row>
      <xdr:rowOff>1439939</xdr:rowOff>
    </xdr:to>
    <xdr:pic>
      <xdr:nvPicPr>
        <xdr:cNvPr id="8" name="Picture 7">
          <a:extLst>
            <a:ext uri="{FF2B5EF4-FFF2-40B4-BE49-F238E27FC236}">
              <a16:creationId xmlns:a16="http://schemas.microsoft.com/office/drawing/2014/main" id="{AFFE57FE-8649-4959-A7A3-B111713CF3BE}"/>
            </a:ext>
          </a:extLst>
        </xdr:cNvPr>
        <xdr:cNvPicPr>
          <a:picLocks noChangeAspect="1"/>
        </xdr:cNvPicPr>
      </xdr:nvPicPr>
      <xdr:blipFill>
        <a:blip xmlns:r="http://schemas.openxmlformats.org/officeDocument/2006/relationships" r:embed="rId9"/>
        <a:stretch>
          <a:fillRect/>
        </a:stretch>
      </xdr:blipFill>
      <xdr:spPr>
        <a:xfrm>
          <a:off x="24968679" y="9680755"/>
          <a:ext cx="2681111" cy="804939"/>
        </a:xfrm>
        <a:prstGeom prst="rect">
          <a:avLst/>
        </a:prstGeom>
      </xdr:spPr>
    </xdr:pic>
    <xdr:clientData/>
  </xdr:twoCellAnchor>
  <xdr:twoCellAnchor editAs="oneCell">
    <xdr:from>
      <xdr:col>13</xdr:col>
      <xdr:colOff>134056</xdr:colOff>
      <xdr:row>18</xdr:row>
      <xdr:rowOff>917856</xdr:rowOff>
    </xdr:from>
    <xdr:to>
      <xdr:col>13</xdr:col>
      <xdr:colOff>1912056</xdr:colOff>
      <xdr:row>18</xdr:row>
      <xdr:rowOff>1678820</xdr:rowOff>
    </xdr:to>
    <xdr:pic>
      <xdr:nvPicPr>
        <xdr:cNvPr id="4" name="Picture 3">
          <a:extLst>
            <a:ext uri="{FF2B5EF4-FFF2-40B4-BE49-F238E27FC236}">
              <a16:creationId xmlns:a16="http://schemas.microsoft.com/office/drawing/2014/main" id="{E2259236-7D34-2343-ED0B-CDE323D91FF7}"/>
            </a:ext>
          </a:extLst>
        </xdr:cNvPr>
        <xdr:cNvPicPr>
          <a:picLocks noChangeAspect="1"/>
        </xdr:cNvPicPr>
      </xdr:nvPicPr>
      <xdr:blipFill rotWithShape="1">
        <a:blip xmlns:r="http://schemas.openxmlformats.org/officeDocument/2006/relationships" r:embed="rId10"/>
        <a:srcRect r="58484"/>
        <a:stretch>
          <a:fillRect/>
        </a:stretch>
      </xdr:blipFill>
      <xdr:spPr>
        <a:xfrm>
          <a:off x="28666723" y="10562800"/>
          <a:ext cx="1778000" cy="760964"/>
        </a:xfrm>
        <a:prstGeom prst="rect">
          <a:avLst/>
        </a:prstGeom>
      </xdr:spPr>
    </xdr:pic>
    <xdr:clientData/>
  </xdr:twoCellAnchor>
  <xdr:twoCellAnchor editAs="oneCell">
    <xdr:from>
      <xdr:col>13</xdr:col>
      <xdr:colOff>1905000</xdr:colOff>
      <xdr:row>18</xdr:row>
      <xdr:rowOff>915035</xdr:rowOff>
    </xdr:from>
    <xdr:to>
      <xdr:col>13</xdr:col>
      <xdr:colOff>4040011</xdr:colOff>
      <xdr:row>18</xdr:row>
      <xdr:rowOff>1675999</xdr:rowOff>
    </xdr:to>
    <xdr:pic>
      <xdr:nvPicPr>
        <xdr:cNvPr id="6" name="Picture 5">
          <a:extLst>
            <a:ext uri="{FF2B5EF4-FFF2-40B4-BE49-F238E27FC236}">
              <a16:creationId xmlns:a16="http://schemas.microsoft.com/office/drawing/2014/main" id="{4E8B4D9A-90CB-4EC0-AABA-FCBF9D71D63B}"/>
            </a:ext>
          </a:extLst>
        </xdr:cNvPr>
        <xdr:cNvPicPr>
          <a:picLocks noChangeAspect="1"/>
        </xdr:cNvPicPr>
      </xdr:nvPicPr>
      <xdr:blipFill rotWithShape="1">
        <a:blip xmlns:r="http://schemas.openxmlformats.org/officeDocument/2006/relationships" r:embed="rId10"/>
        <a:srcRect l="50148"/>
        <a:stretch>
          <a:fillRect/>
        </a:stretch>
      </xdr:blipFill>
      <xdr:spPr>
        <a:xfrm>
          <a:off x="30437667" y="10559979"/>
          <a:ext cx="2135011" cy="7609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10582</xdr:colOff>
      <xdr:row>9</xdr:row>
      <xdr:rowOff>4234</xdr:rowOff>
    </xdr:from>
    <xdr:to>
      <xdr:col>20</xdr:col>
      <xdr:colOff>235635</xdr:colOff>
      <xdr:row>12</xdr:row>
      <xdr:rowOff>201083</xdr:rowOff>
    </xdr:to>
    <xdr:pic>
      <xdr:nvPicPr>
        <xdr:cNvPr id="3" name="Picture 1">
          <a:extLst>
            <a:ext uri="{FF2B5EF4-FFF2-40B4-BE49-F238E27FC236}">
              <a16:creationId xmlns:a16="http://schemas.microsoft.com/office/drawing/2014/main" id="{13E85D61-2654-4F1E-8499-C439AB4B7CBF}"/>
            </a:ext>
          </a:extLst>
        </xdr:cNvPr>
        <xdr:cNvPicPr>
          <a:picLocks noChangeAspect="1"/>
        </xdr:cNvPicPr>
      </xdr:nvPicPr>
      <xdr:blipFill>
        <a:blip xmlns:r="http://schemas.openxmlformats.org/officeDocument/2006/relationships" r:embed="rId1"/>
        <a:stretch>
          <a:fillRect/>
        </a:stretch>
      </xdr:blipFill>
      <xdr:spPr>
        <a:xfrm>
          <a:off x="19102915" y="2438401"/>
          <a:ext cx="6310470" cy="16361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xdr:colOff>
      <xdr:row>11</xdr:row>
      <xdr:rowOff>207598</xdr:rowOff>
    </xdr:from>
    <xdr:to>
      <xdr:col>10</xdr:col>
      <xdr:colOff>1230358</xdr:colOff>
      <xdr:row>15</xdr:row>
      <xdr:rowOff>183174</xdr:rowOff>
    </xdr:to>
    <xdr:pic>
      <xdr:nvPicPr>
        <xdr:cNvPr id="2" name="Picture 4">
          <a:extLst>
            <a:ext uri="{FF2B5EF4-FFF2-40B4-BE49-F238E27FC236}">
              <a16:creationId xmlns:a16="http://schemas.microsoft.com/office/drawing/2014/main" id="{89E46408-6510-4D58-B616-7315DC008A91}"/>
            </a:ext>
          </a:extLst>
        </xdr:cNvPr>
        <xdr:cNvPicPr>
          <a:picLocks noChangeAspect="1"/>
        </xdr:cNvPicPr>
      </xdr:nvPicPr>
      <xdr:blipFill>
        <a:blip xmlns:r="http://schemas.openxmlformats.org/officeDocument/2006/relationships" r:embed="rId1"/>
        <a:stretch>
          <a:fillRect/>
        </a:stretch>
      </xdr:blipFill>
      <xdr:spPr>
        <a:xfrm>
          <a:off x="12529039" y="3553560"/>
          <a:ext cx="4417569" cy="9891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50801</xdr:colOff>
      <xdr:row>8</xdr:row>
      <xdr:rowOff>57150</xdr:rowOff>
    </xdr:from>
    <xdr:to>
      <xdr:col>2</xdr:col>
      <xdr:colOff>2319494</xdr:colOff>
      <xdr:row>11</xdr:row>
      <xdr:rowOff>260959</xdr:rowOff>
    </xdr:to>
    <xdr:pic>
      <xdr:nvPicPr>
        <xdr:cNvPr id="2" name="Picture 1">
          <a:extLst>
            <a:ext uri="{FF2B5EF4-FFF2-40B4-BE49-F238E27FC236}">
              <a16:creationId xmlns:a16="http://schemas.microsoft.com/office/drawing/2014/main" id="{748FE1C7-65CC-EC20-9114-D09E136DF6C2}"/>
            </a:ext>
          </a:extLst>
        </xdr:cNvPr>
        <xdr:cNvPicPr>
          <a:picLocks noChangeAspect="1"/>
        </xdr:cNvPicPr>
      </xdr:nvPicPr>
      <xdr:blipFill>
        <a:blip xmlns:r="http://schemas.openxmlformats.org/officeDocument/2006/relationships" r:embed="rId1"/>
        <a:stretch>
          <a:fillRect/>
        </a:stretch>
      </xdr:blipFill>
      <xdr:spPr>
        <a:xfrm>
          <a:off x="4869842" y="1770780"/>
          <a:ext cx="2268693" cy="1099768"/>
        </a:xfrm>
        <a:prstGeom prst="rect">
          <a:avLst/>
        </a:prstGeom>
      </xdr:spPr>
    </xdr:pic>
    <xdr:clientData/>
  </xdr:twoCellAnchor>
  <xdr:twoCellAnchor>
    <xdr:from>
      <xdr:col>2</xdr:col>
      <xdr:colOff>139700</xdr:colOff>
      <xdr:row>19</xdr:row>
      <xdr:rowOff>114301</xdr:rowOff>
    </xdr:from>
    <xdr:to>
      <xdr:col>2</xdr:col>
      <xdr:colOff>3184947</xdr:colOff>
      <xdr:row>21</xdr:row>
      <xdr:rowOff>146051</xdr:rowOff>
    </xdr:to>
    <xdr:grpSp>
      <xdr:nvGrpSpPr>
        <xdr:cNvPr id="9" name="Group 8">
          <a:extLst>
            <a:ext uri="{FF2B5EF4-FFF2-40B4-BE49-F238E27FC236}">
              <a16:creationId xmlns:a16="http://schemas.microsoft.com/office/drawing/2014/main" id="{06A4E370-FC73-4C2B-3CA3-5363AC34F597}"/>
            </a:ext>
          </a:extLst>
        </xdr:cNvPr>
        <xdr:cNvGrpSpPr/>
      </xdr:nvGrpSpPr>
      <xdr:grpSpPr>
        <a:xfrm>
          <a:off x="4965700" y="4358218"/>
          <a:ext cx="3045247" cy="656166"/>
          <a:chOff x="4933950" y="4330701"/>
          <a:chExt cx="3045247" cy="654050"/>
        </a:xfrm>
      </xdr:grpSpPr>
      <xdr:pic>
        <xdr:nvPicPr>
          <xdr:cNvPr id="3" name="Picture 2">
            <a:extLst>
              <a:ext uri="{FF2B5EF4-FFF2-40B4-BE49-F238E27FC236}">
                <a16:creationId xmlns:a16="http://schemas.microsoft.com/office/drawing/2014/main" id="{61528082-4009-8D8C-45CE-8AC9CC455C3E}"/>
              </a:ext>
            </a:extLst>
          </xdr:cNvPr>
          <xdr:cNvPicPr>
            <a:picLocks noChangeAspect="1"/>
          </xdr:cNvPicPr>
        </xdr:nvPicPr>
        <xdr:blipFill rotWithShape="1">
          <a:blip xmlns:r="http://schemas.openxmlformats.org/officeDocument/2006/relationships" r:embed="rId2"/>
          <a:srcRect r="60373" b="579"/>
          <a:stretch>
            <a:fillRect/>
          </a:stretch>
        </xdr:blipFill>
        <xdr:spPr>
          <a:xfrm>
            <a:off x="4933950" y="4337051"/>
            <a:ext cx="1348761" cy="647700"/>
          </a:xfrm>
          <a:prstGeom prst="rect">
            <a:avLst/>
          </a:prstGeom>
        </xdr:spPr>
      </xdr:pic>
      <xdr:pic>
        <xdr:nvPicPr>
          <xdr:cNvPr id="4" name="Picture 3">
            <a:extLst>
              <a:ext uri="{FF2B5EF4-FFF2-40B4-BE49-F238E27FC236}">
                <a16:creationId xmlns:a16="http://schemas.microsoft.com/office/drawing/2014/main" id="{476272F4-E0C6-403C-9C02-ACE4C729F853}"/>
              </a:ext>
            </a:extLst>
          </xdr:cNvPr>
          <xdr:cNvPicPr>
            <a:picLocks noChangeAspect="1"/>
          </xdr:cNvPicPr>
        </xdr:nvPicPr>
        <xdr:blipFill rotWithShape="1">
          <a:blip xmlns:r="http://schemas.openxmlformats.org/officeDocument/2006/relationships" r:embed="rId2"/>
          <a:srcRect l="49358" b="1708"/>
          <a:stretch>
            <a:fillRect/>
          </a:stretch>
        </xdr:blipFill>
        <xdr:spPr>
          <a:xfrm>
            <a:off x="6235700" y="4330701"/>
            <a:ext cx="1743497" cy="647699"/>
          </a:xfrm>
          <a:prstGeom prst="rect">
            <a:avLst/>
          </a:prstGeom>
        </xdr:spPr>
      </xdr:pic>
    </xdr:grpSp>
    <xdr:clientData/>
  </xdr:twoCellAnchor>
  <xdr:twoCellAnchor>
    <xdr:from>
      <xdr:col>2</xdr:col>
      <xdr:colOff>101600</xdr:colOff>
      <xdr:row>26</xdr:row>
      <xdr:rowOff>361952</xdr:rowOff>
    </xdr:from>
    <xdr:to>
      <xdr:col>2</xdr:col>
      <xdr:colOff>3061450</xdr:colOff>
      <xdr:row>26</xdr:row>
      <xdr:rowOff>1187450</xdr:rowOff>
    </xdr:to>
    <xdr:grpSp>
      <xdr:nvGrpSpPr>
        <xdr:cNvPr id="10" name="Group 9">
          <a:extLst>
            <a:ext uri="{FF2B5EF4-FFF2-40B4-BE49-F238E27FC236}">
              <a16:creationId xmlns:a16="http://schemas.microsoft.com/office/drawing/2014/main" id="{6755BA6C-3763-029A-637A-2ABC6438609E}"/>
            </a:ext>
          </a:extLst>
        </xdr:cNvPr>
        <xdr:cNvGrpSpPr/>
      </xdr:nvGrpSpPr>
      <xdr:grpSpPr>
        <a:xfrm>
          <a:off x="4927600" y="6665385"/>
          <a:ext cx="2959850" cy="0"/>
          <a:chOff x="4927600" y="6470652"/>
          <a:chExt cx="2959850" cy="825498"/>
        </a:xfrm>
      </xdr:grpSpPr>
      <xdr:pic>
        <xdr:nvPicPr>
          <xdr:cNvPr id="5" name="Picture 4">
            <a:extLst>
              <a:ext uri="{FF2B5EF4-FFF2-40B4-BE49-F238E27FC236}">
                <a16:creationId xmlns:a16="http://schemas.microsoft.com/office/drawing/2014/main" id="{CD81BB83-B6D5-E61A-9AA3-5417EA9226D4}"/>
              </a:ext>
            </a:extLst>
          </xdr:cNvPr>
          <xdr:cNvPicPr>
            <a:picLocks noChangeAspect="1"/>
          </xdr:cNvPicPr>
        </xdr:nvPicPr>
        <xdr:blipFill>
          <a:blip xmlns:r="http://schemas.openxmlformats.org/officeDocument/2006/relationships" r:embed="rId3"/>
          <a:stretch>
            <a:fillRect/>
          </a:stretch>
        </xdr:blipFill>
        <xdr:spPr>
          <a:xfrm>
            <a:off x="4927600" y="6470652"/>
            <a:ext cx="1234277" cy="819364"/>
          </a:xfrm>
          <a:prstGeom prst="rect">
            <a:avLst/>
          </a:prstGeom>
        </xdr:spPr>
      </xdr:pic>
      <xdr:pic>
        <xdr:nvPicPr>
          <xdr:cNvPr id="6" name="Picture 5">
            <a:extLst>
              <a:ext uri="{FF2B5EF4-FFF2-40B4-BE49-F238E27FC236}">
                <a16:creationId xmlns:a16="http://schemas.microsoft.com/office/drawing/2014/main" id="{B2867E05-6A42-9798-EABA-1F9B8BB5D2B1}"/>
              </a:ext>
            </a:extLst>
          </xdr:cNvPr>
          <xdr:cNvPicPr>
            <a:picLocks noChangeAspect="1"/>
          </xdr:cNvPicPr>
        </xdr:nvPicPr>
        <xdr:blipFill>
          <a:blip xmlns:r="http://schemas.openxmlformats.org/officeDocument/2006/relationships" r:embed="rId4"/>
          <a:stretch>
            <a:fillRect/>
          </a:stretch>
        </xdr:blipFill>
        <xdr:spPr>
          <a:xfrm>
            <a:off x="6159500" y="6470652"/>
            <a:ext cx="1727950" cy="825498"/>
          </a:xfrm>
          <a:prstGeom prst="rect">
            <a:avLst/>
          </a:prstGeom>
        </xdr:spPr>
      </xdr:pic>
    </xdr:grpSp>
    <xdr:clientData/>
  </xdr:twoCellAnchor>
  <xdr:twoCellAnchor>
    <xdr:from>
      <xdr:col>2</xdr:col>
      <xdr:colOff>123097</xdr:colOff>
      <xdr:row>35</xdr:row>
      <xdr:rowOff>119405</xdr:rowOff>
    </xdr:from>
    <xdr:to>
      <xdr:col>2</xdr:col>
      <xdr:colOff>3226664</xdr:colOff>
      <xdr:row>38</xdr:row>
      <xdr:rowOff>196468</xdr:rowOff>
    </xdr:to>
    <xdr:grpSp>
      <xdr:nvGrpSpPr>
        <xdr:cNvPr id="11" name="Group 10">
          <a:extLst>
            <a:ext uri="{FF2B5EF4-FFF2-40B4-BE49-F238E27FC236}">
              <a16:creationId xmlns:a16="http://schemas.microsoft.com/office/drawing/2014/main" id="{3A08400B-0D93-54E0-5FD3-EC45202D1058}"/>
            </a:ext>
          </a:extLst>
        </xdr:cNvPr>
        <xdr:cNvGrpSpPr/>
      </xdr:nvGrpSpPr>
      <xdr:grpSpPr>
        <a:xfrm>
          <a:off x="4949097" y="8818905"/>
          <a:ext cx="3103567" cy="839063"/>
          <a:chOff x="4936140" y="8503965"/>
          <a:chExt cx="3103567" cy="865794"/>
        </a:xfrm>
      </xdr:grpSpPr>
      <xdr:pic>
        <xdr:nvPicPr>
          <xdr:cNvPr id="7" name="Picture 6">
            <a:extLst>
              <a:ext uri="{FF2B5EF4-FFF2-40B4-BE49-F238E27FC236}">
                <a16:creationId xmlns:a16="http://schemas.microsoft.com/office/drawing/2014/main" id="{3370985E-B1D6-F296-4053-02A20C58D2B2}"/>
              </a:ext>
            </a:extLst>
          </xdr:cNvPr>
          <xdr:cNvPicPr>
            <a:picLocks noChangeAspect="1"/>
          </xdr:cNvPicPr>
        </xdr:nvPicPr>
        <xdr:blipFill>
          <a:blip xmlns:r="http://schemas.openxmlformats.org/officeDocument/2006/relationships" r:embed="rId5"/>
          <a:stretch>
            <a:fillRect/>
          </a:stretch>
        </xdr:blipFill>
        <xdr:spPr>
          <a:xfrm>
            <a:off x="4936140" y="8503965"/>
            <a:ext cx="1174750" cy="865794"/>
          </a:xfrm>
          <a:prstGeom prst="rect">
            <a:avLst/>
          </a:prstGeom>
        </xdr:spPr>
      </xdr:pic>
      <xdr:pic>
        <xdr:nvPicPr>
          <xdr:cNvPr id="8" name="Picture 7">
            <a:extLst>
              <a:ext uri="{FF2B5EF4-FFF2-40B4-BE49-F238E27FC236}">
                <a16:creationId xmlns:a16="http://schemas.microsoft.com/office/drawing/2014/main" id="{A50E29B2-D850-A519-5AF6-9D0CD76CFA1F}"/>
              </a:ext>
            </a:extLst>
          </xdr:cNvPr>
          <xdr:cNvPicPr>
            <a:picLocks noChangeAspect="1"/>
          </xdr:cNvPicPr>
        </xdr:nvPicPr>
        <xdr:blipFill>
          <a:blip xmlns:r="http://schemas.openxmlformats.org/officeDocument/2006/relationships" r:embed="rId6"/>
          <a:stretch>
            <a:fillRect/>
          </a:stretch>
        </xdr:blipFill>
        <xdr:spPr>
          <a:xfrm>
            <a:off x="6110890" y="8523015"/>
            <a:ext cx="1928817" cy="844549"/>
          </a:xfrm>
          <a:prstGeom prst="rect">
            <a:avLst/>
          </a:prstGeom>
        </xdr:spPr>
      </xdr:pic>
    </xdr:grpSp>
    <xdr:clientData/>
  </xdr:twoCellAnchor>
  <xdr:twoCellAnchor>
    <xdr:from>
      <xdr:col>2</xdr:col>
      <xdr:colOff>76942</xdr:colOff>
      <xdr:row>27</xdr:row>
      <xdr:rowOff>37045</xdr:rowOff>
    </xdr:from>
    <xdr:to>
      <xdr:col>2</xdr:col>
      <xdr:colOff>3177395</xdr:colOff>
      <xdr:row>30</xdr:row>
      <xdr:rowOff>202318</xdr:rowOff>
    </xdr:to>
    <xdr:grpSp>
      <xdr:nvGrpSpPr>
        <xdr:cNvPr id="15" name="Group 14">
          <a:extLst>
            <a:ext uri="{FF2B5EF4-FFF2-40B4-BE49-F238E27FC236}">
              <a16:creationId xmlns:a16="http://schemas.microsoft.com/office/drawing/2014/main" id="{399393AD-709C-C433-1EA8-AC3E3D3A9FAD}"/>
            </a:ext>
          </a:extLst>
        </xdr:cNvPr>
        <xdr:cNvGrpSpPr/>
      </xdr:nvGrpSpPr>
      <xdr:grpSpPr>
        <a:xfrm>
          <a:off x="4902942" y="6704545"/>
          <a:ext cx="3100453" cy="927273"/>
          <a:chOff x="4917880" y="6550070"/>
          <a:chExt cx="3100453" cy="922053"/>
        </a:xfrm>
      </xdr:grpSpPr>
      <xdr:pic>
        <xdr:nvPicPr>
          <xdr:cNvPr id="13" name="Picture 12">
            <a:extLst>
              <a:ext uri="{FF2B5EF4-FFF2-40B4-BE49-F238E27FC236}">
                <a16:creationId xmlns:a16="http://schemas.microsoft.com/office/drawing/2014/main" id="{368434D1-5BCD-EE3F-B51A-34C011B8A4D9}"/>
              </a:ext>
            </a:extLst>
          </xdr:cNvPr>
          <xdr:cNvPicPr>
            <a:picLocks noChangeAspect="1"/>
          </xdr:cNvPicPr>
        </xdr:nvPicPr>
        <xdr:blipFill>
          <a:blip xmlns:r="http://schemas.openxmlformats.org/officeDocument/2006/relationships" r:embed="rId7"/>
          <a:stretch>
            <a:fillRect/>
          </a:stretch>
        </xdr:blipFill>
        <xdr:spPr>
          <a:xfrm>
            <a:off x="4917880" y="6561481"/>
            <a:ext cx="1240751" cy="910642"/>
          </a:xfrm>
          <a:prstGeom prst="rect">
            <a:avLst/>
          </a:prstGeom>
        </xdr:spPr>
      </xdr:pic>
      <xdr:pic>
        <xdr:nvPicPr>
          <xdr:cNvPr id="14" name="Picture 13">
            <a:extLst>
              <a:ext uri="{FF2B5EF4-FFF2-40B4-BE49-F238E27FC236}">
                <a16:creationId xmlns:a16="http://schemas.microsoft.com/office/drawing/2014/main" id="{16625A08-4AED-7C2F-9B9E-293679AAA517}"/>
              </a:ext>
            </a:extLst>
          </xdr:cNvPr>
          <xdr:cNvPicPr>
            <a:picLocks noChangeAspect="1"/>
          </xdr:cNvPicPr>
        </xdr:nvPicPr>
        <xdr:blipFill>
          <a:blip xmlns:r="http://schemas.openxmlformats.org/officeDocument/2006/relationships" r:embed="rId8"/>
          <a:stretch>
            <a:fillRect/>
          </a:stretch>
        </xdr:blipFill>
        <xdr:spPr>
          <a:xfrm>
            <a:off x="6149933" y="6550070"/>
            <a:ext cx="1868400" cy="913356"/>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ctuary/Product/Whole%20Life%20Endowment%20(Nilai%20Penebusan%20Polis)/Pricing/00)Pricing%20Model_BCAL_Whole%20Life_UP%202bio.xlsm" TargetMode="External"/><Relationship Id="rId2" Type="http://schemas.openxmlformats.org/officeDocument/2006/relationships/externalLinkPath" Target="file:///I:\Actuary\Product\Whole%20Life%20Endowment%20(Nilai%20Penebusan%20Polis)\Pricing\00)Pricing%20Model_BCAL_Whole%20Life_UP%202bio.xlsm" TargetMode="External"/><Relationship Id="rId1" Type="http://schemas.openxmlformats.org/officeDocument/2006/relationships/externalLinkPath" Target="/Actuary/Product/Whole%20Life%20Endowment%20(Nilai%20Penebusan%20Polis)/Pricing/00)Pricing%20Model_BCAL_Whole%20Life_UP%202bi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udit Trail"/>
      <sheetName val="Manual"/>
      <sheetName val="Assumptions"/>
      <sheetName val="Prem &amp; RI"/>
      <sheetName val="Input"/>
      <sheetName val="MP&amp;Result"/>
      <sheetName val="apportionment"/>
      <sheetName val="Mth_Proj (NB)"/>
      <sheetName val="Skenario"/>
      <sheetName val="Benefit Factors"/>
      <sheetName val="Metrics Factor"/>
      <sheetName val="Sheet2"/>
      <sheetName val="Cash Value"/>
      <sheetName val="Sheet1"/>
      <sheetName val="GPV75% (NB)"/>
      <sheetName val="Calculation--&gt;"/>
      <sheetName val="GPV95% (NB)"/>
      <sheetName val="Decrement"/>
      <sheetName val="Sheet3"/>
      <sheetName val="Sheet4"/>
      <sheetName val="Sheet5"/>
    </sheetNames>
    <sheetDataSet>
      <sheetData sheetId="0" refreshError="1"/>
      <sheetData sheetId="1" refreshError="1"/>
      <sheetData sheetId="2" refreshError="1"/>
      <sheetData sheetId="3" refreshError="1"/>
      <sheetData sheetId="4" refreshError="1"/>
      <sheetData sheetId="5">
        <row r="17">
          <cell r="C17">
            <v>30410800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persons/person.xml><?xml version="1.0" encoding="utf-8"?>
<personList xmlns="http://schemas.microsoft.com/office/spreadsheetml/2018/threadedcomments" xmlns:x="http://schemas.openxmlformats.org/spreadsheetml/2006/main">
  <person displayName="Putri Anindya Sugiarti" id="{FFB04249-AA7B-47B7-A276-B3D2C3B67A70}" userId="S::putri_sugiarti@bcalife.co.id::99897442-ba92-4a99-89b5-5cf21550ddc2"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9" dT="2026-02-27T04:45:12.63" personId="{FFB04249-AA7B-47B7-A276-B3D2C3B67A70}" id="{5BBF446F-824F-4243-9B50-07F4786BE87B}">
    <text>UP + Terminal Bonus (besaran tidak dijamin)</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FD233-753F-4CD3-B506-44470E483666}">
  <dimension ref="A1:AR56"/>
  <sheetViews>
    <sheetView topLeftCell="B25" zoomScale="90" zoomScaleNormal="80" workbookViewId="0">
      <pane xSplit="2" topLeftCell="M1" activePane="topRight" state="frozen"/>
      <selection activeCell="B1" sqref="B1"/>
      <selection pane="topRight" activeCell="C18" sqref="C18:C27"/>
    </sheetView>
  </sheetViews>
  <sheetFormatPr defaultRowHeight="14.5" x14ac:dyDescent="0.35"/>
  <cols>
    <col min="1" max="1" width="1" hidden="1" customWidth="1"/>
    <col min="2" max="2" width="43.1796875" style="1" customWidth="1"/>
    <col min="3" max="3" width="44.08984375" customWidth="1"/>
    <col min="4" max="4" width="44.1796875" customWidth="1"/>
    <col min="5" max="5" width="68.26953125" customWidth="1"/>
    <col min="6" max="6" width="47.26953125" customWidth="1"/>
    <col min="7" max="7" width="45.26953125" hidden="1" customWidth="1"/>
    <col min="8" max="8" width="49.08984375" customWidth="1"/>
    <col min="9" max="9" width="48.90625" hidden="1" customWidth="1"/>
    <col min="10" max="10" width="40.26953125" hidden="1" customWidth="1"/>
    <col min="11" max="11" width="39.36328125" hidden="1" customWidth="1"/>
    <col min="12" max="12" width="46.36328125" customWidth="1"/>
    <col min="13" max="13" width="65.90625" customWidth="1"/>
    <col min="14" max="14" width="60" customWidth="1"/>
  </cols>
  <sheetData>
    <row r="1" spans="1:44" x14ac:dyDescent="0.35">
      <c r="E1" s="9" t="s">
        <v>140</v>
      </c>
      <c r="F1" s="9" t="s">
        <v>140</v>
      </c>
      <c r="G1" s="9"/>
      <c r="H1" s="9" t="s">
        <v>140</v>
      </c>
    </row>
    <row r="2" spans="1:44" ht="15.5" x14ac:dyDescent="0.35">
      <c r="B2" s="2" t="s">
        <v>0</v>
      </c>
      <c r="C2" s="21" t="s">
        <v>1</v>
      </c>
      <c r="D2" s="13" t="s">
        <v>3</v>
      </c>
      <c r="E2" s="16" t="s">
        <v>57</v>
      </c>
      <c r="F2" s="17" t="s">
        <v>66</v>
      </c>
      <c r="G2" s="18" t="s">
        <v>2</v>
      </c>
      <c r="H2" s="18" t="s">
        <v>2</v>
      </c>
      <c r="I2" s="7" t="s">
        <v>84</v>
      </c>
      <c r="J2" s="8" t="s">
        <v>171</v>
      </c>
      <c r="K2" s="57" t="s">
        <v>84</v>
      </c>
      <c r="L2" s="18" t="s">
        <v>2</v>
      </c>
      <c r="M2" s="147" t="s">
        <v>234</v>
      </c>
      <c r="N2" s="9" t="s">
        <v>84</v>
      </c>
    </row>
    <row r="3" spans="1:44" ht="15.5" x14ac:dyDescent="0.35">
      <c r="B3" s="2" t="s">
        <v>4</v>
      </c>
      <c r="C3" s="21" t="s">
        <v>35</v>
      </c>
      <c r="D3" s="13" t="s">
        <v>40</v>
      </c>
      <c r="E3" s="16" t="s">
        <v>58</v>
      </c>
      <c r="F3" s="17" t="s">
        <v>67</v>
      </c>
      <c r="G3" s="18" t="s">
        <v>71</v>
      </c>
      <c r="H3" s="18" t="s">
        <v>86</v>
      </c>
      <c r="I3" s="7" t="s">
        <v>85</v>
      </c>
      <c r="J3" s="8" t="s">
        <v>172</v>
      </c>
      <c r="K3" s="57" t="s">
        <v>173</v>
      </c>
      <c r="L3" s="18" t="s">
        <v>235</v>
      </c>
      <c r="M3" s="147" t="s">
        <v>236</v>
      </c>
      <c r="N3" s="9" t="s">
        <v>348</v>
      </c>
    </row>
    <row r="4" spans="1:44" ht="15.5" x14ac:dyDescent="0.35">
      <c r="B4" s="2" t="s">
        <v>5</v>
      </c>
      <c r="C4" s="9" t="s">
        <v>15</v>
      </c>
      <c r="D4" s="9" t="s">
        <v>15</v>
      </c>
      <c r="E4" s="8" t="s">
        <v>15</v>
      </c>
      <c r="F4" s="8" t="s">
        <v>15</v>
      </c>
      <c r="G4" s="8" t="s">
        <v>15</v>
      </c>
      <c r="H4" s="8" t="s">
        <v>15</v>
      </c>
      <c r="I4" s="8" t="s">
        <v>15</v>
      </c>
      <c r="K4" s="8" t="s">
        <v>15</v>
      </c>
      <c r="L4" s="8" t="s">
        <v>237</v>
      </c>
      <c r="M4" s="8" t="s">
        <v>238</v>
      </c>
      <c r="N4" s="8" t="s">
        <v>349</v>
      </c>
    </row>
    <row r="5" spans="1:44" ht="15.5" x14ac:dyDescent="0.35">
      <c r="B5" s="2" t="s">
        <v>6</v>
      </c>
      <c r="C5" s="9" t="s">
        <v>60</v>
      </c>
      <c r="D5" s="9" t="s">
        <v>60</v>
      </c>
      <c r="E5" s="8" t="s">
        <v>59</v>
      </c>
      <c r="F5" s="8" t="s">
        <v>68</v>
      </c>
      <c r="G5" s="8" t="s">
        <v>80</v>
      </c>
      <c r="H5" s="8" t="s">
        <v>80</v>
      </c>
      <c r="I5" s="8" t="s">
        <v>97</v>
      </c>
      <c r="K5" s="8" t="s">
        <v>68</v>
      </c>
      <c r="L5" s="8" t="s">
        <v>68</v>
      </c>
      <c r="N5" s="8" t="s">
        <v>350</v>
      </c>
    </row>
    <row r="6" spans="1:44" ht="28" customHeight="1" x14ac:dyDescent="0.35">
      <c r="B6" s="2" t="s">
        <v>7</v>
      </c>
      <c r="C6" s="8" t="s">
        <v>17</v>
      </c>
      <c r="D6" s="8" t="s">
        <v>17</v>
      </c>
      <c r="E6" s="8" t="s">
        <v>61</v>
      </c>
      <c r="F6" s="8" t="s">
        <v>61</v>
      </c>
      <c r="G6" s="8" t="s">
        <v>17</v>
      </c>
      <c r="H6" s="25" t="s">
        <v>89</v>
      </c>
      <c r="I6" s="8" t="s">
        <v>61</v>
      </c>
      <c r="K6" s="8" t="s">
        <v>61</v>
      </c>
      <c r="L6" s="25" t="s">
        <v>239</v>
      </c>
      <c r="M6" s="24" t="s">
        <v>240</v>
      </c>
      <c r="N6" s="8" t="s">
        <v>351</v>
      </c>
    </row>
    <row r="7" spans="1:44" ht="15.5" x14ac:dyDescent="0.35">
      <c r="B7" s="2" t="s">
        <v>8</v>
      </c>
      <c r="C7" s="9" t="s">
        <v>18</v>
      </c>
      <c r="D7" s="9" t="s">
        <v>41</v>
      </c>
      <c r="E7" s="8" t="s">
        <v>62</v>
      </c>
      <c r="F7" s="8" t="s">
        <v>69</v>
      </c>
      <c r="G7" s="8" t="s">
        <v>69</v>
      </c>
      <c r="H7" s="8" t="s">
        <v>90</v>
      </c>
      <c r="I7" s="8" t="s">
        <v>99</v>
      </c>
      <c r="K7" s="8" t="s">
        <v>183</v>
      </c>
      <c r="L7" s="8" t="s">
        <v>241</v>
      </c>
      <c r="M7" s="8" t="s">
        <v>242</v>
      </c>
      <c r="N7" s="8" t="s">
        <v>352</v>
      </c>
    </row>
    <row r="8" spans="1:44" ht="15.5" x14ac:dyDescent="0.35">
      <c r="B8" s="2" t="s">
        <v>9</v>
      </c>
      <c r="C8" s="9" t="s">
        <v>19</v>
      </c>
      <c r="D8" s="9" t="s">
        <v>19</v>
      </c>
      <c r="E8" s="8" t="s">
        <v>63</v>
      </c>
      <c r="F8" s="8" t="s">
        <v>63</v>
      </c>
      <c r="G8" s="8" t="s">
        <v>63</v>
      </c>
      <c r="H8" s="8" t="s">
        <v>63</v>
      </c>
      <c r="I8" s="8" t="s">
        <v>63</v>
      </c>
      <c r="K8" s="8" t="s">
        <v>63</v>
      </c>
      <c r="L8" s="8" t="s">
        <v>243</v>
      </c>
      <c r="M8" s="8" t="s">
        <v>243</v>
      </c>
      <c r="N8" s="8" t="s">
        <v>353</v>
      </c>
    </row>
    <row r="9" spans="1:44" ht="79" customHeight="1" x14ac:dyDescent="0.35">
      <c r="B9" s="2" t="s">
        <v>16</v>
      </c>
      <c r="C9" s="8" t="s">
        <v>45</v>
      </c>
      <c r="D9" s="8" t="s">
        <v>44</v>
      </c>
      <c r="E9" s="11" t="s">
        <v>154</v>
      </c>
      <c r="F9" s="11" t="s">
        <v>164</v>
      </c>
      <c r="G9" s="8" t="s">
        <v>78</v>
      </c>
      <c r="H9" s="11" t="s">
        <v>165</v>
      </c>
      <c r="I9" s="8" t="s">
        <v>100</v>
      </c>
      <c r="K9" s="8" t="s">
        <v>189</v>
      </c>
      <c r="M9" s="1"/>
      <c r="N9" s="8" t="s">
        <v>189</v>
      </c>
    </row>
    <row r="10" spans="1:44" ht="116.5" customHeight="1" x14ac:dyDescent="0.35">
      <c r="B10" s="2" t="s">
        <v>42</v>
      </c>
      <c r="C10" s="9" t="s">
        <v>43</v>
      </c>
      <c r="D10" s="9" t="s">
        <v>46</v>
      </c>
      <c r="E10" s="8" t="s">
        <v>64</v>
      </c>
      <c r="F10" s="8" t="s">
        <v>70</v>
      </c>
      <c r="G10" s="27"/>
      <c r="H10" s="8" t="s">
        <v>141</v>
      </c>
      <c r="I10" s="8" t="s">
        <v>101</v>
      </c>
      <c r="K10" s="56" t="s">
        <v>185</v>
      </c>
      <c r="L10" s="8" t="s">
        <v>244</v>
      </c>
      <c r="M10" s="26" t="s">
        <v>245</v>
      </c>
      <c r="N10" s="8" t="s">
        <v>70</v>
      </c>
    </row>
    <row r="11" spans="1:44" s="1" customFormat="1" ht="108" customHeight="1" x14ac:dyDescent="0.35">
      <c r="B11" s="2" t="s">
        <v>10</v>
      </c>
      <c r="C11" s="8" t="s">
        <v>20</v>
      </c>
      <c r="D11" s="15" t="s">
        <v>47</v>
      </c>
      <c r="E11" s="12" t="s">
        <v>65</v>
      </c>
      <c r="F11" s="11" t="s">
        <v>161</v>
      </c>
      <c r="G11" s="8" t="s">
        <v>79</v>
      </c>
      <c r="H11" s="24" t="s">
        <v>94</v>
      </c>
      <c r="I11" s="1" t="s">
        <v>98</v>
      </c>
      <c r="K11" s="11" t="s">
        <v>184</v>
      </c>
      <c r="L11" s="24" t="s">
        <v>246</v>
      </c>
      <c r="M11" s="24" t="s">
        <v>247</v>
      </c>
      <c r="N11" s="12" t="s">
        <v>354</v>
      </c>
    </row>
    <row r="12" spans="1:44" s="1" customFormat="1" ht="15.5" x14ac:dyDescent="0.35">
      <c r="B12" s="2" t="s">
        <v>91</v>
      </c>
      <c r="C12" s="8" t="s">
        <v>92</v>
      </c>
      <c r="D12" s="15" t="s">
        <v>93</v>
      </c>
      <c r="E12" s="12" t="s">
        <v>93</v>
      </c>
      <c r="F12" s="8" t="s">
        <v>93</v>
      </c>
      <c r="G12" s="8"/>
      <c r="H12" s="8" t="s">
        <v>92</v>
      </c>
      <c r="I12" s="1" t="s">
        <v>92</v>
      </c>
      <c r="K12" s="8" t="s">
        <v>92</v>
      </c>
      <c r="L12" s="8" t="s">
        <v>248</v>
      </c>
      <c r="M12" s="8" t="s">
        <v>249</v>
      </c>
      <c r="N12" s="8" t="s">
        <v>93</v>
      </c>
    </row>
    <row r="13" spans="1:44" s="1" customFormat="1" ht="15.5" x14ac:dyDescent="0.35">
      <c r="B13" s="2" t="s">
        <v>138</v>
      </c>
      <c r="C13" s="8" t="s">
        <v>147</v>
      </c>
      <c r="D13" s="15"/>
      <c r="E13" s="12" t="s">
        <v>147</v>
      </c>
      <c r="F13" s="8" t="s">
        <v>197</v>
      </c>
      <c r="G13" s="8"/>
      <c r="H13" s="8" t="s">
        <v>147</v>
      </c>
      <c r="K13" s="8" t="s">
        <v>147</v>
      </c>
      <c r="N13" s="8" t="s">
        <v>147</v>
      </c>
    </row>
    <row r="14" spans="1:44" ht="202.5" customHeight="1" x14ac:dyDescent="0.35">
      <c r="B14" s="2" t="s">
        <v>11</v>
      </c>
      <c r="C14" s="8" t="s">
        <v>21</v>
      </c>
      <c r="D14" s="8" t="s">
        <v>21</v>
      </c>
      <c r="E14" s="8" t="s">
        <v>21</v>
      </c>
      <c r="F14" s="8" t="s">
        <v>21</v>
      </c>
      <c r="G14" s="8" t="s">
        <v>21</v>
      </c>
      <c r="H14" s="26" t="s">
        <v>166</v>
      </c>
      <c r="I14" s="26" t="s">
        <v>102</v>
      </c>
      <c r="K14" s="8" t="s">
        <v>21</v>
      </c>
      <c r="L14" s="8" t="s">
        <v>21</v>
      </c>
      <c r="M14" s="8" t="s">
        <v>21</v>
      </c>
      <c r="N14" s="8" t="s">
        <v>21</v>
      </c>
    </row>
    <row r="15" spans="1:44" s="361" customFormat="1" ht="14.5" customHeight="1" x14ac:dyDescent="0.35">
      <c r="A15" s="360" t="s">
        <v>33</v>
      </c>
      <c r="B15" s="360"/>
      <c r="C15" s="360"/>
      <c r="D15" s="360"/>
      <c r="E15" s="360"/>
      <c r="F15" s="360"/>
      <c r="G15" s="360"/>
      <c r="H15" s="360"/>
      <c r="I15" s="360"/>
      <c r="J15" s="360"/>
      <c r="K15" s="360"/>
      <c r="L15" s="360"/>
      <c r="M15" s="360"/>
      <c r="N15" s="360"/>
      <c r="O15" s="360"/>
      <c r="P15" s="360"/>
      <c r="Q15" s="360"/>
      <c r="R15" s="360"/>
      <c r="S15" s="360"/>
      <c r="T15" s="360"/>
      <c r="U15" s="360"/>
      <c r="V15" s="360"/>
      <c r="W15" s="360"/>
      <c r="X15" s="360"/>
      <c r="Y15" s="360"/>
      <c r="Z15" s="360"/>
      <c r="AA15" s="360"/>
      <c r="AB15" s="360"/>
      <c r="AC15" s="360"/>
      <c r="AD15" s="360"/>
      <c r="AE15" s="360"/>
      <c r="AF15" s="360"/>
      <c r="AG15" s="360"/>
      <c r="AH15" s="360"/>
      <c r="AI15" s="360"/>
      <c r="AJ15" s="360"/>
      <c r="AK15" s="360"/>
      <c r="AL15" s="360"/>
      <c r="AM15" s="360"/>
      <c r="AN15" s="360"/>
      <c r="AO15" s="360"/>
      <c r="AP15" s="360"/>
      <c r="AQ15" s="360"/>
      <c r="AR15" s="360"/>
    </row>
    <row r="16" spans="1:44" s="1" customFormat="1" x14ac:dyDescent="0.35">
      <c r="B16" s="365" t="s">
        <v>12</v>
      </c>
      <c r="C16" s="8" t="s">
        <v>22</v>
      </c>
      <c r="D16" s="8" t="s">
        <v>48</v>
      </c>
      <c r="E16" s="358" t="s">
        <v>13</v>
      </c>
      <c r="F16" s="8" t="s">
        <v>72</v>
      </c>
      <c r="G16" s="358" t="s">
        <v>13</v>
      </c>
      <c r="H16" s="1" t="s">
        <v>142</v>
      </c>
      <c r="I16" s="1" t="s">
        <v>103</v>
      </c>
      <c r="K16" s="358" t="s">
        <v>13</v>
      </c>
      <c r="L16" s="363" t="s">
        <v>250</v>
      </c>
      <c r="M16" s="358" t="s">
        <v>251</v>
      </c>
      <c r="N16" s="358" t="s">
        <v>147</v>
      </c>
    </row>
    <row r="17" spans="1:44" s="1" customFormat="1" x14ac:dyDescent="0.35">
      <c r="B17" s="365"/>
      <c r="C17" s="8" t="s">
        <v>23</v>
      </c>
      <c r="D17" s="8" t="s">
        <v>49</v>
      </c>
      <c r="E17" s="358"/>
      <c r="F17" s="8" t="s">
        <v>73</v>
      </c>
      <c r="G17" s="358"/>
      <c r="H17" s="1" t="s">
        <v>143</v>
      </c>
      <c r="I17" s="1" t="s">
        <v>104</v>
      </c>
      <c r="K17" s="358"/>
      <c r="L17" s="363"/>
      <c r="M17" s="358"/>
      <c r="N17" s="358"/>
    </row>
    <row r="18" spans="1:44" s="1" customFormat="1" ht="43.5" x14ac:dyDescent="0.35">
      <c r="B18" s="364" t="s">
        <v>24</v>
      </c>
      <c r="C18" s="362" t="s">
        <v>148</v>
      </c>
      <c r="D18" s="363" t="s">
        <v>50</v>
      </c>
      <c r="E18" s="11" t="s">
        <v>146</v>
      </c>
      <c r="F18" s="358" t="s">
        <v>74</v>
      </c>
      <c r="G18" s="363" t="s">
        <v>81</v>
      </c>
      <c r="H18" s="24" t="s">
        <v>96</v>
      </c>
      <c r="I18" s="24" t="s">
        <v>105</v>
      </c>
      <c r="K18" s="24" t="s">
        <v>186</v>
      </c>
      <c r="L18" s="358" t="s">
        <v>252</v>
      </c>
      <c r="M18" s="366" t="s">
        <v>345</v>
      </c>
      <c r="N18" s="359" t="s">
        <v>355</v>
      </c>
    </row>
    <row r="19" spans="1:44" s="1" customFormat="1" ht="251.5" customHeight="1" x14ac:dyDescent="0.35">
      <c r="B19" s="364"/>
      <c r="C19" s="362"/>
      <c r="D19" s="363"/>
      <c r="E19" s="22" t="s">
        <v>149</v>
      </c>
      <c r="F19" s="358"/>
      <c r="G19" s="363"/>
      <c r="H19" s="24" t="s">
        <v>95</v>
      </c>
      <c r="I19" s="24" t="s">
        <v>106</v>
      </c>
      <c r="K19" s="24" t="s">
        <v>187</v>
      </c>
      <c r="L19" s="358"/>
      <c r="M19" s="367"/>
      <c r="N19" s="359"/>
    </row>
    <row r="20" spans="1:44" ht="31" x14ac:dyDescent="0.35">
      <c r="B20" s="5" t="s">
        <v>25</v>
      </c>
      <c r="C20" s="10" t="s">
        <v>52</v>
      </c>
      <c r="D20" s="8" t="s">
        <v>52</v>
      </c>
      <c r="E20" s="8" t="s">
        <v>13</v>
      </c>
      <c r="F20" s="8" t="s">
        <v>13</v>
      </c>
      <c r="G20" s="8" t="s">
        <v>13</v>
      </c>
      <c r="H20" s="8" t="s">
        <v>13</v>
      </c>
      <c r="I20" s="8" t="s">
        <v>13</v>
      </c>
      <c r="K20" s="8" t="s">
        <v>13</v>
      </c>
      <c r="L20" s="8" t="s">
        <v>13</v>
      </c>
      <c r="M20" s="8" t="s">
        <v>13</v>
      </c>
      <c r="N20" s="8" t="s">
        <v>13</v>
      </c>
    </row>
    <row r="21" spans="1:44" ht="46.5" x14ac:dyDescent="0.35">
      <c r="B21" s="5" t="s">
        <v>51</v>
      </c>
      <c r="C21" s="14" t="s">
        <v>13</v>
      </c>
      <c r="D21" s="8" t="s">
        <v>53</v>
      </c>
      <c r="E21" s="8" t="s">
        <v>13</v>
      </c>
      <c r="F21" s="8" t="s">
        <v>13</v>
      </c>
      <c r="G21" s="8" t="s">
        <v>13</v>
      </c>
      <c r="H21" s="8" t="s">
        <v>13</v>
      </c>
      <c r="I21" s="24" t="s">
        <v>107</v>
      </c>
      <c r="K21" s="8" t="s">
        <v>13</v>
      </c>
      <c r="L21" s="8" t="s">
        <v>13</v>
      </c>
      <c r="M21" s="8" t="s">
        <v>13</v>
      </c>
      <c r="N21" s="8" t="s">
        <v>13</v>
      </c>
    </row>
    <row r="22" spans="1:44" s="1" customFormat="1" ht="20.5" customHeight="1" x14ac:dyDescent="0.35">
      <c r="B22" s="4" t="s">
        <v>26</v>
      </c>
      <c r="C22" s="10" t="s">
        <v>36</v>
      </c>
      <c r="D22" s="8" t="s">
        <v>13</v>
      </c>
      <c r="E22" s="8" t="s">
        <v>13</v>
      </c>
      <c r="F22" s="8" t="s">
        <v>13</v>
      </c>
      <c r="G22" s="8" t="s">
        <v>13</v>
      </c>
      <c r="H22" s="8" t="s">
        <v>13</v>
      </c>
      <c r="I22" s="1" t="s">
        <v>13</v>
      </c>
      <c r="K22" s="8" t="s">
        <v>13</v>
      </c>
      <c r="L22" s="8" t="s">
        <v>13</v>
      </c>
      <c r="M22" s="8" t="s">
        <v>13</v>
      </c>
      <c r="N22" s="8" t="s">
        <v>13</v>
      </c>
    </row>
    <row r="23" spans="1:44" s="1" customFormat="1" ht="135" customHeight="1" x14ac:dyDescent="0.35">
      <c r="B23" s="4" t="s">
        <v>27</v>
      </c>
      <c r="C23" s="11" t="s">
        <v>37</v>
      </c>
      <c r="D23" s="11" t="s">
        <v>54</v>
      </c>
      <c r="E23" s="23" t="s">
        <v>87</v>
      </c>
      <c r="F23" s="11" t="s">
        <v>162</v>
      </c>
      <c r="G23" s="11" t="s">
        <v>82</v>
      </c>
      <c r="H23" s="8" t="s">
        <v>13</v>
      </c>
      <c r="I23" s="1" t="s">
        <v>13</v>
      </c>
      <c r="K23" s="8" t="s">
        <v>13</v>
      </c>
      <c r="L23" s="8" t="s">
        <v>13</v>
      </c>
      <c r="M23" s="12" t="s">
        <v>346</v>
      </c>
    </row>
    <row r="24" spans="1:44" s="1" customFormat="1" ht="15.5" x14ac:dyDescent="0.35">
      <c r="B24" s="6" t="s">
        <v>28</v>
      </c>
      <c r="C24" s="8" t="s">
        <v>38</v>
      </c>
      <c r="D24" s="8" t="s">
        <v>196</v>
      </c>
      <c r="E24" s="8" t="s">
        <v>13</v>
      </c>
      <c r="F24" s="8" t="s">
        <v>13</v>
      </c>
      <c r="G24" s="8" t="s">
        <v>13</v>
      </c>
      <c r="H24" s="8" t="s">
        <v>13</v>
      </c>
      <c r="I24" s="1" t="s">
        <v>13</v>
      </c>
      <c r="K24" s="8" t="s">
        <v>13</v>
      </c>
      <c r="L24" s="8" t="s">
        <v>13</v>
      </c>
      <c r="M24" s="8" t="s">
        <v>13</v>
      </c>
    </row>
    <row r="25" spans="1:44" s="1" customFormat="1" ht="73" customHeight="1" x14ac:dyDescent="0.35">
      <c r="B25" s="6" t="s">
        <v>29</v>
      </c>
      <c r="C25" s="11" t="s">
        <v>144</v>
      </c>
      <c r="D25" s="8" t="s">
        <v>55</v>
      </c>
      <c r="E25" s="11" t="s">
        <v>151</v>
      </c>
      <c r="F25" s="8" t="s">
        <v>74</v>
      </c>
      <c r="G25" s="11" t="s">
        <v>81</v>
      </c>
      <c r="H25" s="11" t="s">
        <v>167</v>
      </c>
      <c r="I25" s="24" t="s">
        <v>108</v>
      </c>
      <c r="K25" s="8" t="s">
        <v>13</v>
      </c>
      <c r="L25" s="11" t="s">
        <v>253</v>
      </c>
      <c r="M25" s="8" t="s">
        <v>254</v>
      </c>
    </row>
    <row r="26" spans="1:44" s="1" customFormat="1" ht="58" x14ac:dyDescent="0.35">
      <c r="B26" s="6" t="s">
        <v>34</v>
      </c>
      <c r="C26" s="12" t="s">
        <v>39</v>
      </c>
      <c r="D26" s="8"/>
      <c r="E26" s="8" t="s">
        <v>13</v>
      </c>
      <c r="F26" s="8" t="s">
        <v>75</v>
      </c>
      <c r="G26" s="8" t="s">
        <v>83</v>
      </c>
      <c r="H26" s="11" t="s">
        <v>168</v>
      </c>
      <c r="I26" s="1" t="s">
        <v>13</v>
      </c>
      <c r="K26" s="12" t="s">
        <v>188</v>
      </c>
      <c r="L26" s="12" t="s">
        <v>255</v>
      </c>
      <c r="M26" s="8" t="s">
        <v>13</v>
      </c>
    </row>
    <row r="27" spans="1:44" s="1" customFormat="1" ht="72.5" x14ac:dyDescent="0.35">
      <c r="B27" s="19" t="s">
        <v>77</v>
      </c>
      <c r="C27" s="12" t="s">
        <v>13</v>
      </c>
      <c r="D27" s="8" t="s">
        <v>13</v>
      </c>
      <c r="E27" s="8" t="s">
        <v>13</v>
      </c>
      <c r="F27" s="11" t="s">
        <v>163</v>
      </c>
      <c r="G27" s="8" t="s">
        <v>13</v>
      </c>
      <c r="H27" s="8" t="s">
        <v>13</v>
      </c>
      <c r="I27" s="24" t="s">
        <v>109</v>
      </c>
      <c r="K27" s="8" t="s">
        <v>13</v>
      </c>
      <c r="L27" s="8" t="s">
        <v>13</v>
      </c>
      <c r="M27" s="11" t="s">
        <v>256</v>
      </c>
    </row>
    <row r="28" spans="1:44" s="361" customFormat="1" ht="15.5" x14ac:dyDescent="0.35">
      <c r="A28" s="360" t="s">
        <v>30</v>
      </c>
      <c r="B28" s="360"/>
      <c r="C28" s="360"/>
      <c r="D28" s="360"/>
      <c r="E28" s="360"/>
      <c r="F28" s="360"/>
      <c r="G28" s="360"/>
      <c r="H28" s="360"/>
      <c r="I28" s="360"/>
      <c r="J28" s="360"/>
      <c r="K28" s="360"/>
      <c r="L28" s="360"/>
      <c r="M28" s="360"/>
      <c r="N28" s="360"/>
      <c r="O28" s="360"/>
      <c r="P28" s="360"/>
      <c r="Q28" s="360"/>
      <c r="R28" s="360"/>
      <c r="S28" s="360"/>
      <c r="T28" s="360"/>
      <c r="U28" s="360"/>
      <c r="V28" s="360"/>
      <c r="W28" s="360"/>
      <c r="X28" s="360"/>
      <c r="Y28" s="360"/>
      <c r="Z28" s="360"/>
      <c r="AA28" s="360"/>
      <c r="AB28" s="360"/>
      <c r="AC28" s="360"/>
      <c r="AD28" s="360"/>
      <c r="AE28" s="360"/>
      <c r="AF28" s="360"/>
      <c r="AG28" s="360"/>
      <c r="AH28" s="360"/>
      <c r="AI28" s="360"/>
      <c r="AJ28" s="360"/>
      <c r="AK28" s="360"/>
      <c r="AL28" s="360"/>
      <c r="AM28" s="360"/>
      <c r="AN28" s="360"/>
      <c r="AO28" s="360"/>
      <c r="AP28" s="360"/>
      <c r="AQ28" s="360"/>
      <c r="AR28" s="360"/>
    </row>
    <row r="29" spans="1:44" ht="85" customHeight="1" x14ac:dyDescent="0.35">
      <c r="B29" s="3" t="s">
        <v>31</v>
      </c>
      <c r="C29" s="8" t="s">
        <v>56</v>
      </c>
      <c r="D29" s="9" t="s">
        <v>13</v>
      </c>
      <c r="E29" s="8" t="s">
        <v>88</v>
      </c>
      <c r="F29" s="8" t="s">
        <v>88</v>
      </c>
      <c r="G29" s="8" t="s">
        <v>76</v>
      </c>
      <c r="H29" s="8" t="s">
        <v>76</v>
      </c>
      <c r="I29" s="8" t="s">
        <v>76</v>
      </c>
      <c r="K29" s="8" t="s">
        <v>56</v>
      </c>
      <c r="L29" s="11" t="s">
        <v>257</v>
      </c>
      <c r="M29" s="8" t="s">
        <v>258</v>
      </c>
    </row>
    <row r="30" spans="1:44" ht="32" customHeight="1" x14ac:dyDescent="0.35">
      <c r="B30" s="3" t="s">
        <v>139</v>
      </c>
      <c r="C30" s="8" t="s">
        <v>13</v>
      </c>
      <c r="D30" s="9"/>
      <c r="E30" s="8" t="s">
        <v>13</v>
      </c>
      <c r="F30" s="8" t="s">
        <v>13</v>
      </c>
      <c r="G30" s="8"/>
      <c r="H30" s="8" t="s">
        <v>14</v>
      </c>
      <c r="I30" s="8"/>
      <c r="K30" s="8" t="s">
        <v>13</v>
      </c>
      <c r="L30" s="148" t="s">
        <v>259</v>
      </c>
      <c r="M30" s="8" t="s">
        <v>14</v>
      </c>
    </row>
    <row r="31" spans="1:44" ht="61" customHeight="1" x14ac:dyDescent="0.35">
      <c r="B31" s="3" t="s">
        <v>32</v>
      </c>
      <c r="C31" s="8" t="s">
        <v>13</v>
      </c>
      <c r="D31" s="20" t="s">
        <v>14</v>
      </c>
      <c r="E31" s="8" t="s">
        <v>13</v>
      </c>
      <c r="F31" s="8" t="s">
        <v>13</v>
      </c>
      <c r="G31" s="8" t="s">
        <v>13</v>
      </c>
      <c r="H31" s="8" t="s">
        <v>14</v>
      </c>
      <c r="I31" s="8" t="s">
        <v>13</v>
      </c>
      <c r="K31" s="8" t="s">
        <v>13</v>
      </c>
      <c r="L31" s="8" t="s">
        <v>260</v>
      </c>
      <c r="M31" s="8" t="s">
        <v>14</v>
      </c>
    </row>
    <row r="32" spans="1:44" ht="31" x14ac:dyDescent="0.35">
      <c r="B32" s="3" t="s">
        <v>169</v>
      </c>
      <c r="C32" s="8" t="s">
        <v>13</v>
      </c>
      <c r="D32" s="8" t="s">
        <v>13</v>
      </c>
      <c r="E32" s="8" t="s">
        <v>13</v>
      </c>
      <c r="F32" s="8" t="s">
        <v>13</v>
      </c>
      <c r="H32" s="8" t="s">
        <v>14</v>
      </c>
      <c r="K32" s="8" t="s">
        <v>14</v>
      </c>
      <c r="L32" s="8" t="s">
        <v>14</v>
      </c>
      <c r="M32" s="8" t="s">
        <v>261</v>
      </c>
    </row>
    <row r="34" spans="3:3" x14ac:dyDescent="0.35">
      <c r="C34" s="59"/>
    </row>
    <row r="35" spans="3:3" x14ac:dyDescent="0.35">
      <c r="C35" s="60"/>
    </row>
    <row r="36" spans="3:3" x14ac:dyDescent="0.35">
      <c r="C36" s="60"/>
    </row>
    <row r="37" spans="3:3" x14ac:dyDescent="0.35">
      <c r="C37" s="60"/>
    </row>
    <row r="38" spans="3:3" x14ac:dyDescent="0.35">
      <c r="C38" s="60"/>
    </row>
    <row r="39" spans="3:3" x14ac:dyDescent="0.35">
      <c r="C39" s="60"/>
    </row>
    <row r="40" spans="3:3" x14ac:dyDescent="0.35">
      <c r="C40" s="60"/>
    </row>
    <row r="41" spans="3:3" x14ac:dyDescent="0.35">
      <c r="C41" s="60"/>
    </row>
    <row r="42" spans="3:3" x14ac:dyDescent="0.35">
      <c r="C42" s="60"/>
    </row>
    <row r="43" spans="3:3" x14ac:dyDescent="0.35">
      <c r="C43" s="60"/>
    </row>
    <row r="44" spans="3:3" x14ac:dyDescent="0.35">
      <c r="C44" s="60"/>
    </row>
    <row r="45" spans="3:3" x14ac:dyDescent="0.35">
      <c r="C45" s="60"/>
    </row>
    <row r="46" spans="3:3" x14ac:dyDescent="0.35">
      <c r="C46" s="60"/>
    </row>
    <row r="47" spans="3:3" x14ac:dyDescent="0.35">
      <c r="C47" s="60"/>
    </row>
    <row r="48" spans="3:3" x14ac:dyDescent="0.35">
      <c r="C48" s="60"/>
    </row>
    <row r="49" spans="3:3" x14ac:dyDescent="0.35">
      <c r="C49" s="60"/>
    </row>
    <row r="50" spans="3:3" x14ac:dyDescent="0.35">
      <c r="C50" s="60"/>
    </row>
    <row r="51" spans="3:3" x14ac:dyDescent="0.35">
      <c r="C51" s="60"/>
    </row>
    <row r="52" spans="3:3" x14ac:dyDescent="0.35">
      <c r="C52" s="60"/>
    </row>
    <row r="53" spans="3:3" x14ac:dyDescent="0.35">
      <c r="C53" s="60"/>
    </row>
    <row r="54" spans="3:3" x14ac:dyDescent="0.35">
      <c r="C54" s="60"/>
    </row>
    <row r="55" spans="3:3" x14ac:dyDescent="0.35">
      <c r="C55" s="60"/>
    </row>
    <row r="56" spans="3:3" x14ac:dyDescent="0.35">
      <c r="C56" s="60"/>
    </row>
  </sheetData>
  <mergeCells count="17">
    <mergeCell ref="M18:M19"/>
    <mergeCell ref="N16:N17"/>
    <mergeCell ref="N18:N19"/>
    <mergeCell ref="A15:XFD15"/>
    <mergeCell ref="A28:XFD28"/>
    <mergeCell ref="C18:C19"/>
    <mergeCell ref="D18:D19"/>
    <mergeCell ref="E16:E17"/>
    <mergeCell ref="F18:F19"/>
    <mergeCell ref="B18:B19"/>
    <mergeCell ref="B16:B17"/>
    <mergeCell ref="G18:G19"/>
    <mergeCell ref="G16:G17"/>
    <mergeCell ref="K16:K17"/>
    <mergeCell ref="L16:L17"/>
    <mergeCell ref="M16:M17"/>
    <mergeCell ref="L18:L19"/>
  </mergeCells>
  <pageMargins left="0.7" right="0.7" top="0.75" bottom="0.75" header="0.3" footer="0.3"/>
  <pageSetup orientation="portrait" horizontalDpi="90" verticalDpi="90" r:id="rId1"/>
  <headerFooter>
    <oddFooter>&amp;C_x000D_&amp;1#&amp;"Aptos"&amp;10&amp;K008000 INTERNAL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F92CD-7EF1-4373-B13B-509ECA543B3C}">
  <dimension ref="A1:V55"/>
  <sheetViews>
    <sheetView zoomScale="60" zoomScaleNormal="55" workbookViewId="0">
      <pane ySplit="18" topLeftCell="A24" activePane="bottomLeft" state="frozen"/>
      <selection pane="bottomLeft" sqref="A1:E9"/>
    </sheetView>
  </sheetViews>
  <sheetFormatPr defaultRowHeight="14.5" x14ac:dyDescent="0.35"/>
  <cols>
    <col min="1" max="1" width="23.7265625" customWidth="1"/>
    <col min="2" max="2" width="23.6328125" bestFit="1" customWidth="1"/>
    <col min="3" max="3" width="21.81640625" bestFit="1" customWidth="1"/>
    <col min="4" max="4" width="23.6328125" bestFit="1" customWidth="1"/>
    <col min="5" max="5" width="23.7265625" bestFit="1" customWidth="1"/>
    <col min="6" max="6" width="23.81640625" bestFit="1" customWidth="1"/>
    <col min="7" max="7" width="15.81640625" customWidth="1"/>
    <col min="8" max="8" width="24.6328125" customWidth="1"/>
    <col min="9" max="9" width="21.54296875" bestFit="1" customWidth="1"/>
    <col min="10" max="10" width="30.1796875" customWidth="1"/>
    <col min="11" max="11" width="23.6328125" bestFit="1" customWidth="1"/>
    <col min="12" max="12" width="17.08984375" customWidth="1"/>
    <col min="13" max="13" width="21.7265625" customWidth="1"/>
    <col min="14" max="14" width="9" customWidth="1"/>
    <col min="16" max="16" width="12.54296875" customWidth="1"/>
  </cols>
  <sheetData>
    <row r="1" spans="1:16" ht="29" customHeight="1" x14ac:dyDescent="0.35">
      <c r="A1" s="380" t="s">
        <v>170</v>
      </c>
      <c r="B1" s="380"/>
      <c r="C1" s="380"/>
      <c r="D1" s="380"/>
      <c r="E1" s="380"/>
      <c r="F1" s="53"/>
      <c r="G1" s="380" t="s">
        <v>190</v>
      </c>
      <c r="H1" s="380"/>
      <c r="I1" s="380"/>
      <c r="J1" s="380"/>
      <c r="L1" s="380" t="s">
        <v>198</v>
      </c>
      <c r="M1" s="380"/>
      <c r="N1" s="380"/>
      <c r="O1" s="380"/>
      <c r="P1" s="380"/>
    </row>
    <row r="2" spans="1:16" ht="18.5" x14ac:dyDescent="0.45">
      <c r="A2" s="404" t="s">
        <v>114</v>
      </c>
      <c r="B2" s="405"/>
      <c r="C2" s="65"/>
      <c r="D2" s="406" t="s">
        <v>58</v>
      </c>
      <c r="E2" s="406"/>
      <c r="F2" s="53"/>
      <c r="G2" s="408" t="s">
        <v>33</v>
      </c>
      <c r="H2" s="408"/>
      <c r="I2" s="99" t="s">
        <v>114</v>
      </c>
      <c r="J2" s="96" t="s">
        <v>58</v>
      </c>
      <c r="K2" s="68"/>
      <c r="L2" s="90"/>
      <c r="M2" s="381" t="s">
        <v>114</v>
      </c>
      <c r="N2" s="381"/>
      <c r="O2" s="385" t="s">
        <v>58</v>
      </c>
      <c r="P2" s="385"/>
    </row>
    <row r="3" spans="1:16" ht="18" customHeight="1" x14ac:dyDescent="0.45">
      <c r="A3" s="86" t="s">
        <v>110</v>
      </c>
      <c r="B3" s="76" t="s">
        <v>21</v>
      </c>
      <c r="C3" s="65"/>
      <c r="D3" s="86" t="s">
        <v>110</v>
      </c>
      <c r="E3" s="76" t="s">
        <v>21</v>
      </c>
      <c r="F3" s="53"/>
      <c r="G3" s="69" t="s">
        <v>191</v>
      </c>
      <c r="H3" s="70"/>
      <c r="I3" s="71" t="s">
        <v>193</v>
      </c>
      <c r="J3" s="71" t="s">
        <v>193</v>
      </c>
      <c r="K3" s="65"/>
      <c r="L3" s="106" t="s">
        <v>111</v>
      </c>
      <c r="M3" s="382" t="s">
        <v>201</v>
      </c>
      <c r="N3" s="382"/>
      <c r="O3" s="386" t="s">
        <v>62</v>
      </c>
      <c r="P3" s="386"/>
    </row>
    <row r="4" spans="1:16" ht="18.5" customHeight="1" x14ac:dyDescent="0.45">
      <c r="A4" s="86" t="s">
        <v>111</v>
      </c>
      <c r="B4" s="76" t="s">
        <v>145</v>
      </c>
      <c r="C4" s="65"/>
      <c r="D4" s="86" t="s">
        <v>111</v>
      </c>
      <c r="E4" s="108" t="s">
        <v>115</v>
      </c>
      <c r="F4" s="53"/>
      <c r="G4" s="409" t="s">
        <v>192</v>
      </c>
      <c r="H4" s="409"/>
      <c r="I4" s="410" t="s">
        <v>193</v>
      </c>
      <c r="J4" s="411" t="s">
        <v>194</v>
      </c>
      <c r="K4" s="65"/>
      <c r="L4" s="90" t="s">
        <v>200</v>
      </c>
      <c r="M4" s="383" t="s">
        <v>202</v>
      </c>
      <c r="N4" s="384"/>
      <c r="O4" s="387" t="s">
        <v>205</v>
      </c>
      <c r="P4" s="388"/>
    </row>
    <row r="5" spans="1:16" ht="23.5" customHeight="1" x14ac:dyDescent="0.45">
      <c r="A5" s="88" t="s">
        <v>7</v>
      </c>
      <c r="B5" s="76" t="s">
        <v>118</v>
      </c>
      <c r="C5" s="65"/>
      <c r="D5" s="86" t="s">
        <v>7</v>
      </c>
      <c r="E5" s="89" t="s">
        <v>116</v>
      </c>
      <c r="F5" s="53"/>
      <c r="G5" s="409"/>
      <c r="H5" s="409"/>
      <c r="I5" s="410"/>
      <c r="J5" s="411"/>
      <c r="K5" s="65"/>
      <c r="L5" s="90" t="s">
        <v>199</v>
      </c>
      <c r="M5" s="383" t="s">
        <v>43</v>
      </c>
      <c r="N5" s="384"/>
      <c r="O5" s="383" t="s">
        <v>64</v>
      </c>
      <c r="P5" s="384"/>
    </row>
    <row r="6" spans="1:16" ht="18.5" customHeight="1" x14ac:dyDescent="0.45">
      <c r="A6" s="88" t="s">
        <v>112</v>
      </c>
      <c r="B6" s="76" t="s">
        <v>113</v>
      </c>
      <c r="C6" s="65"/>
      <c r="D6" s="90" t="s">
        <v>112</v>
      </c>
      <c r="E6" s="76" t="s">
        <v>113</v>
      </c>
      <c r="F6" s="53"/>
      <c r="G6" s="69" t="s">
        <v>195</v>
      </c>
      <c r="H6" s="69"/>
      <c r="I6" s="71" t="s">
        <v>193</v>
      </c>
      <c r="J6" s="72" t="s">
        <v>194</v>
      </c>
      <c r="K6" s="65"/>
      <c r="L6" s="107" t="s">
        <v>110</v>
      </c>
      <c r="M6" s="383" t="s">
        <v>21</v>
      </c>
      <c r="N6" s="384"/>
      <c r="O6" s="383" t="s">
        <v>21</v>
      </c>
      <c r="P6" s="384"/>
    </row>
    <row r="7" spans="1:16" ht="24.5" customHeight="1" x14ac:dyDescent="0.45">
      <c r="A7" s="88" t="s">
        <v>121</v>
      </c>
      <c r="B7" s="76" t="s">
        <v>122</v>
      </c>
      <c r="C7" s="65"/>
      <c r="D7" s="90" t="s">
        <v>10</v>
      </c>
      <c r="E7" s="76" t="s">
        <v>122</v>
      </c>
      <c r="F7" s="53"/>
      <c r="G7" s="368" t="s">
        <v>27</v>
      </c>
      <c r="H7" s="369"/>
      <c r="I7" s="71" t="s">
        <v>216</v>
      </c>
      <c r="J7" s="71" t="s">
        <v>193</v>
      </c>
      <c r="K7" s="67"/>
      <c r="L7" s="107" t="s">
        <v>91</v>
      </c>
      <c r="M7" s="382" t="s">
        <v>92</v>
      </c>
      <c r="N7" s="382"/>
      <c r="O7" s="386" t="s">
        <v>93</v>
      </c>
      <c r="P7" s="386"/>
    </row>
    <row r="8" spans="1:16" ht="18" customHeight="1" x14ac:dyDescent="0.45">
      <c r="A8" s="90" t="s">
        <v>12</v>
      </c>
      <c r="B8" s="76" t="s">
        <v>152</v>
      </c>
      <c r="C8" s="65"/>
      <c r="D8" s="90" t="s">
        <v>12</v>
      </c>
      <c r="E8" s="76" t="s">
        <v>13</v>
      </c>
      <c r="F8" s="53"/>
      <c r="G8" s="379" t="s">
        <v>28</v>
      </c>
      <c r="H8" s="379"/>
      <c r="I8" s="71" t="s">
        <v>193</v>
      </c>
      <c r="J8" s="72" t="s">
        <v>194</v>
      </c>
      <c r="K8" s="67"/>
    </row>
    <row r="9" spans="1:16" ht="23.5" x14ac:dyDescent="0.45">
      <c r="A9" s="90" t="s">
        <v>117</v>
      </c>
      <c r="B9" s="74">
        <v>3000000000</v>
      </c>
      <c r="C9" s="65"/>
      <c r="D9" s="86" t="s">
        <v>117</v>
      </c>
      <c r="E9" s="74">
        <v>3000000000</v>
      </c>
      <c r="F9" s="53"/>
      <c r="G9" s="69" t="s">
        <v>29</v>
      </c>
      <c r="H9" s="86"/>
      <c r="I9" s="71" t="s">
        <v>193</v>
      </c>
      <c r="J9" s="71" t="s">
        <v>193</v>
      </c>
      <c r="K9" s="53"/>
    </row>
    <row r="10" spans="1:16" ht="74" customHeight="1" x14ac:dyDescent="0.35">
      <c r="A10" s="53"/>
      <c r="B10" s="53"/>
      <c r="C10" s="53"/>
      <c r="D10" s="53"/>
      <c r="E10" s="53"/>
      <c r="F10" s="53"/>
      <c r="G10" s="69" t="s">
        <v>213</v>
      </c>
      <c r="H10" s="69"/>
      <c r="I10" s="71" t="s">
        <v>193</v>
      </c>
      <c r="J10" s="114" t="s">
        <v>214</v>
      </c>
      <c r="K10" s="53"/>
      <c r="L10" s="399" t="s">
        <v>220</v>
      </c>
    </row>
    <row r="11" spans="1:16" ht="21" x14ac:dyDescent="0.5">
      <c r="A11" s="393" t="s">
        <v>119</v>
      </c>
      <c r="B11" s="393"/>
      <c r="C11" s="393"/>
      <c r="D11" s="393"/>
      <c r="E11" s="393"/>
      <c r="F11" s="53"/>
      <c r="G11" s="53"/>
      <c r="H11" s="53"/>
      <c r="I11" s="53"/>
      <c r="J11" s="53"/>
      <c r="K11" s="53"/>
      <c r="L11" s="400"/>
      <c r="M11" s="28"/>
    </row>
    <row r="12" spans="1:16" ht="18.5" x14ac:dyDescent="0.45">
      <c r="A12" s="92"/>
      <c r="B12" s="381" t="s">
        <v>114</v>
      </c>
      <c r="C12" s="381"/>
      <c r="D12" s="385" t="s">
        <v>58</v>
      </c>
      <c r="E12" s="385"/>
      <c r="F12" s="55"/>
      <c r="G12" s="53"/>
      <c r="H12" s="117"/>
      <c r="I12" s="53"/>
      <c r="J12" s="53"/>
      <c r="L12" s="400"/>
      <c r="M12" s="28"/>
    </row>
    <row r="13" spans="1:16" ht="18.5" x14ac:dyDescent="0.45">
      <c r="A13" s="54" t="s">
        <v>150</v>
      </c>
      <c r="B13" s="401">
        <f>'Premi H+ 2 bio'!AL55*'Heritage+ vs PRUInfinity'!B9/1000</f>
        <v>349080000</v>
      </c>
      <c r="C13" s="401"/>
      <c r="D13" s="401">
        <v>619971000</v>
      </c>
      <c r="E13" s="401"/>
      <c r="F13" s="53"/>
      <c r="G13" s="117"/>
      <c r="I13" s="53"/>
      <c r="J13" s="53"/>
      <c r="K13" s="53"/>
      <c r="L13" s="400"/>
      <c r="M13" s="28"/>
    </row>
    <row r="14" spans="1:16" ht="18.5" x14ac:dyDescent="0.45">
      <c r="A14" s="54" t="s">
        <v>120</v>
      </c>
      <c r="B14" s="407">
        <f>B13*5</f>
        <v>1745400000</v>
      </c>
      <c r="C14" s="407"/>
      <c r="D14" s="402">
        <f>D13*3</f>
        <v>1859913000</v>
      </c>
      <c r="E14" s="403"/>
      <c r="F14" s="58"/>
      <c r="G14" s="53"/>
      <c r="H14" s="53"/>
      <c r="I14" s="53"/>
      <c r="J14" s="53"/>
      <c r="K14" s="53"/>
      <c r="L14" s="118"/>
    </row>
    <row r="15" spans="1:16" ht="15.5" customHeight="1" x14ac:dyDescent="0.35">
      <c r="A15" s="53"/>
      <c r="B15" s="53"/>
      <c r="C15" s="53"/>
      <c r="D15" s="53"/>
      <c r="E15" s="53"/>
      <c r="F15" s="53"/>
      <c r="G15" s="53"/>
      <c r="H15" s="53"/>
      <c r="I15" s="53"/>
      <c r="J15" s="53"/>
      <c r="K15" s="53"/>
      <c r="L15" s="118"/>
    </row>
    <row r="16" spans="1:16" ht="21" x14ac:dyDescent="0.5">
      <c r="A16" s="393" t="s">
        <v>153</v>
      </c>
      <c r="B16" s="393"/>
      <c r="C16" s="393"/>
      <c r="D16" s="393"/>
      <c r="E16" s="393"/>
      <c r="F16" s="393"/>
      <c r="G16" s="393"/>
      <c r="H16" s="393"/>
      <c r="I16" s="393"/>
      <c r="J16" s="393"/>
      <c r="K16" s="393"/>
    </row>
    <row r="17" spans="1:22" ht="43" customHeight="1" x14ac:dyDescent="0.45">
      <c r="A17" s="92" t="s">
        <v>155</v>
      </c>
      <c r="B17" s="389" t="s">
        <v>158</v>
      </c>
      <c r="C17" s="390"/>
      <c r="D17" s="391" t="s">
        <v>24</v>
      </c>
      <c r="E17" s="392"/>
      <c r="F17" s="398" t="s">
        <v>25</v>
      </c>
      <c r="G17" s="398"/>
      <c r="H17" s="397" t="s">
        <v>156</v>
      </c>
      <c r="I17" s="397"/>
      <c r="J17" s="397" t="s">
        <v>157</v>
      </c>
      <c r="K17" s="397"/>
    </row>
    <row r="18" spans="1:22" ht="35.5" customHeight="1" x14ac:dyDescent="0.35">
      <c r="A18" s="54"/>
      <c r="B18" s="94" t="s">
        <v>159</v>
      </c>
      <c r="C18" s="97" t="s">
        <v>58</v>
      </c>
      <c r="D18" s="94" t="s">
        <v>159</v>
      </c>
      <c r="E18" s="97" t="s">
        <v>58</v>
      </c>
      <c r="F18" s="94" t="s">
        <v>159</v>
      </c>
      <c r="G18" s="97" t="s">
        <v>58</v>
      </c>
      <c r="H18" s="94" t="s">
        <v>159</v>
      </c>
      <c r="I18" s="97" t="s">
        <v>58</v>
      </c>
      <c r="J18" s="94" t="s">
        <v>159</v>
      </c>
      <c r="K18" s="97" t="s">
        <v>58</v>
      </c>
    </row>
    <row r="19" spans="1:22" ht="19" thickBot="1" x14ac:dyDescent="0.5">
      <c r="A19" s="73">
        <v>1</v>
      </c>
      <c r="B19" s="78">
        <f>$B$13</f>
        <v>349080000</v>
      </c>
      <c r="C19" s="78">
        <f>$D$13</f>
        <v>619971000</v>
      </c>
      <c r="D19" s="78">
        <f>$B$9</f>
        <v>3000000000</v>
      </c>
      <c r="E19" s="78">
        <f>$E$9</f>
        <v>3000000000</v>
      </c>
      <c r="F19" s="79"/>
      <c r="G19" s="394" t="s">
        <v>13</v>
      </c>
      <c r="H19" s="79"/>
      <c r="I19" s="79"/>
      <c r="J19" s="79"/>
      <c r="K19" s="79"/>
    </row>
    <row r="20" spans="1:22" ht="14.5" customHeight="1" x14ac:dyDescent="0.45">
      <c r="A20" s="75">
        <v>2</v>
      </c>
      <c r="B20" s="78">
        <f t="shared" ref="B20:B23" si="0">$B$13</f>
        <v>349080000</v>
      </c>
      <c r="C20" s="78">
        <f t="shared" ref="C20:C21" si="1">$D$13</f>
        <v>619971000</v>
      </c>
      <c r="D20" s="78">
        <f t="shared" ref="D20:D23" si="2">$B$9</f>
        <v>3000000000</v>
      </c>
      <c r="E20" s="78">
        <f t="shared" ref="E20:E23" si="3">$E$9</f>
        <v>3000000000</v>
      </c>
      <c r="F20" s="79"/>
      <c r="G20" s="395"/>
      <c r="H20" s="79"/>
      <c r="I20" s="79"/>
      <c r="J20" s="79"/>
      <c r="K20" s="79"/>
      <c r="M20" s="370" t="s">
        <v>210</v>
      </c>
      <c r="N20" s="371"/>
      <c r="O20" s="371"/>
      <c r="P20" s="371"/>
      <c r="Q20" s="371"/>
      <c r="R20" s="371"/>
      <c r="S20" s="371"/>
      <c r="T20" s="371"/>
      <c r="U20" s="371"/>
      <c r="V20" s="372"/>
    </row>
    <row r="21" spans="1:22" ht="14.5" customHeight="1" x14ac:dyDescent="0.45">
      <c r="A21" s="75">
        <v>3</v>
      </c>
      <c r="B21" s="78">
        <f t="shared" si="0"/>
        <v>349080000</v>
      </c>
      <c r="C21" s="78">
        <f t="shared" si="1"/>
        <v>619971000</v>
      </c>
      <c r="D21" s="78">
        <f t="shared" si="2"/>
        <v>3000000000</v>
      </c>
      <c r="E21" s="78">
        <f t="shared" si="3"/>
        <v>3000000000</v>
      </c>
      <c r="F21" s="79"/>
      <c r="G21" s="395"/>
      <c r="H21" s="79"/>
      <c r="I21" s="79"/>
      <c r="J21" s="79"/>
      <c r="K21" s="79"/>
      <c r="M21" s="373"/>
      <c r="N21" s="374"/>
      <c r="O21" s="374"/>
      <c r="P21" s="374"/>
      <c r="Q21" s="374"/>
      <c r="R21" s="374"/>
      <c r="S21" s="374"/>
      <c r="T21" s="374"/>
      <c r="U21" s="374"/>
      <c r="V21" s="375"/>
    </row>
    <row r="22" spans="1:22" ht="14.5" customHeight="1" x14ac:dyDescent="0.45">
      <c r="A22" s="75">
        <v>4</v>
      </c>
      <c r="B22" s="78">
        <f t="shared" si="0"/>
        <v>349080000</v>
      </c>
      <c r="C22" s="79"/>
      <c r="D22" s="78">
        <f t="shared" si="2"/>
        <v>3000000000</v>
      </c>
      <c r="E22" s="78">
        <f t="shared" si="3"/>
        <v>3000000000</v>
      </c>
      <c r="F22" s="79"/>
      <c r="G22" s="395"/>
      <c r="H22" s="79"/>
      <c r="I22" s="79"/>
      <c r="J22" s="79"/>
      <c r="K22" s="79"/>
      <c r="M22" s="373"/>
      <c r="N22" s="374"/>
      <c r="O22" s="374"/>
      <c r="P22" s="374"/>
      <c r="Q22" s="374"/>
      <c r="R22" s="374"/>
      <c r="S22" s="374"/>
      <c r="T22" s="374"/>
      <c r="U22" s="374"/>
      <c r="V22" s="375"/>
    </row>
    <row r="23" spans="1:22" ht="14.5" customHeight="1" x14ac:dyDescent="0.45">
      <c r="A23" s="75">
        <v>5</v>
      </c>
      <c r="B23" s="78">
        <f t="shared" si="0"/>
        <v>349080000</v>
      </c>
      <c r="C23" s="79"/>
      <c r="D23" s="78">
        <f t="shared" si="2"/>
        <v>3000000000</v>
      </c>
      <c r="E23" s="78">
        <f t="shared" si="3"/>
        <v>3000000000</v>
      </c>
      <c r="F23" s="79"/>
      <c r="G23" s="395"/>
      <c r="H23" s="79"/>
      <c r="I23" s="79"/>
      <c r="J23" s="79"/>
      <c r="K23" s="79"/>
      <c r="M23" s="373"/>
      <c r="N23" s="374"/>
      <c r="O23" s="374"/>
      <c r="P23" s="374"/>
      <c r="Q23" s="374"/>
      <c r="R23" s="374"/>
      <c r="S23" s="374"/>
      <c r="T23" s="374"/>
      <c r="U23" s="374"/>
      <c r="V23" s="375"/>
    </row>
    <row r="24" spans="1:22" ht="14.5" customHeight="1" x14ac:dyDescent="0.45">
      <c r="A24" s="75">
        <v>6</v>
      </c>
      <c r="B24" s="80"/>
      <c r="C24" s="80"/>
      <c r="D24" s="81">
        <f>125%*B9</f>
        <v>3750000000</v>
      </c>
      <c r="E24" s="78">
        <v>3450000000</v>
      </c>
      <c r="F24" s="79"/>
      <c r="G24" s="395"/>
      <c r="H24" s="79"/>
      <c r="I24" s="79"/>
      <c r="J24" s="79"/>
      <c r="K24" s="79"/>
      <c r="M24" s="373"/>
      <c r="N24" s="374"/>
      <c r="O24" s="374"/>
      <c r="P24" s="374"/>
      <c r="Q24" s="374"/>
      <c r="R24" s="374"/>
      <c r="S24" s="374"/>
      <c r="T24" s="374"/>
      <c r="U24" s="374"/>
      <c r="V24" s="375"/>
    </row>
    <row r="25" spans="1:22" ht="14.5" customHeight="1" x14ac:dyDescent="0.45">
      <c r="A25" s="75">
        <v>7</v>
      </c>
      <c r="B25" s="80"/>
      <c r="C25" s="80"/>
      <c r="D25" s="81">
        <f>D24</f>
        <v>3750000000</v>
      </c>
      <c r="E25" s="78">
        <v>3600000000</v>
      </c>
      <c r="F25" s="79"/>
      <c r="G25" s="395"/>
      <c r="H25" s="79"/>
      <c r="I25" s="79"/>
      <c r="J25" s="79"/>
      <c r="K25" s="79"/>
      <c r="M25" s="373"/>
      <c r="N25" s="374"/>
      <c r="O25" s="374"/>
      <c r="P25" s="374"/>
      <c r="Q25" s="374"/>
      <c r="R25" s="374"/>
      <c r="S25" s="374"/>
      <c r="T25" s="374"/>
      <c r="U25" s="374"/>
      <c r="V25" s="375"/>
    </row>
    <row r="26" spans="1:22" ht="14.5" customHeight="1" x14ac:dyDescent="0.45">
      <c r="A26" s="75" t="s">
        <v>160</v>
      </c>
      <c r="B26" s="80"/>
      <c r="C26" s="80"/>
      <c r="D26" s="80" t="s">
        <v>160</v>
      </c>
      <c r="E26" s="80" t="s">
        <v>160</v>
      </c>
      <c r="F26" s="79"/>
      <c r="G26" s="395"/>
      <c r="H26" s="79"/>
      <c r="I26" s="79"/>
      <c r="J26" s="79"/>
      <c r="K26" s="79"/>
      <c r="M26" s="373"/>
      <c r="N26" s="374"/>
      <c r="O26" s="374"/>
      <c r="P26" s="374"/>
      <c r="Q26" s="374"/>
      <c r="R26" s="374"/>
      <c r="S26" s="374"/>
      <c r="T26" s="374"/>
      <c r="U26" s="374"/>
      <c r="V26" s="375"/>
    </row>
    <row r="27" spans="1:22" ht="14.5" customHeight="1" x14ac:dyDescent="0.45">
      <c r="A27" s="75">
        <v>11</v>
      </c>
      <c r="B27" s="80"/>
      <c r="C27" s="80"/>
      <c r="D27" s="81">
        <f>150%*B9</f>
        <v>4500000000</v>
      </c>
      <c r="E27" s="78">
        <v>4200000000</v>
      </c>
      <c r="F27" s="79"/>
      <c r="G27" s="395"/>
      <c r="H27" s="79"/>
      <c r="I27" s="79"/>
      <c r="J27" s="79"/>
      <c r="K27" s="79"/>
      <c r="L27" s="28"/>
      <c r="M27" s="373"/>
      <c r="N27" s="374"/>
      <c r="O27" s="374"/>
      <c r="P27" s="374"/>
      <c r="Q27" s="374"/>
      <c r="R27" s="374"/>
      <c r="S27" s="374"/>
      <c r="T27" s="374"/>
      <c r="U27" s="374"/>
      <c r="V27" s="375"/>
    </row>
    <row r="28" spans="1:22" ht="14.5" customHeight="1" x14ac:dyDescent="0.45">
      <c r="A28" s="75" t="s">
        <v>160</v>
      </c>
      <c r="B28" s="80"/>
      <c r="C28" s="80"/>
      <c r="D28" s="80" t="s">
        <v>160</v>
      </c>
      <c r="E28" s="80" t="s">
        <v>160</v>
      </c>
      <c r="F28" s="79"/>
      <c r="G28" s="395"/>
      <c r="H28" s="79"/>
      <c r="I28" s="79"/>
      <c r="J28" s="79"/>
      <c r="K28" s="79"/>
      <c r="L28" s="28"/>
      <c r="M28" s="373"/>
      <c r="N28" s="374"/>
      <c r="O28" s="374"/>
      <c r="P28" s="374"/>
      <c r="Q28" s="374"/>
      <c r="R28" s="374"/>
      <c r="S28" s="374"/>
      <c r="T28" s="374"/>
      <c r="U28" s="374"/>
      <c r="V28" s="375"/>
    </row>
    <row r="29" spans="1:22" ht="14.5" customHeight="1" x14ac:dyDescent="0.45">
      <c r="A29" s="75">
        <v>15</v>
      </c>
      <c r="B29" s="80"/>
      <c r="C29" s="80"/>
      <c r="D29" s="81">
        <f>D27</f>
        <v>4500000000</v>
      </c>
      <c r="E29" s="82">
        <v>4800000000</v>
      </c>
      <c r="F29" s="79"/>
      <c r="G29" s="395"/>
      <c r="H29" s="85">
        <f>50%*B14</f>
        <v>872700000</v>
      </c>
      <c r="I29" s="79"/>
      <c r="J29" s="79"/>
      <c r="K29" s="79"/>
      <c r="L29" s="28"/>
      <c r="M29" s="373"/>
      <c r="N29" s="374"/>
      <c r="O29" s="374"/>
      <c r="P29" s="374"/>
      <c r="Q29" s="374"/>
      <c r="R29" s="374"/>
      <c r="S29" s="374"/>
      <c r="T29" s="374"/>
      <c r="U29" s="374"/>
      <c r="V29" s="375"/>
    </row>
    <row r="30" spans="1:22" ht="14.5" customHeight="1" x14ac:dyDescent="0.45">
      <c r="A30" s="75">
        <v>16</v>
      </c>
      <c r="B30" s="80"/>
      <c r="C30" s="81"/>
      <c r="D30" s="81">
        <f>160%*B9</f>
        <v>4800000000</v>
      </c>
      <c r="E30" s="78">
        <v>4330029000</v>
      </c>
      <c r="F30" s="85">
        <f>D30+B9</f>
        <v>7800000000</v>
      </c>
      <c r="G30" s="395"/>
      <c r="H30" s="79"/>
      <c r="I30" s="78">
        <f>100%*D13</f>
        <v>619971000</v>
      </c>
      <c r="J30" s="78"/>
      <c r="K30" s="79"/>
      <c r="L30" s="28"/>
      <c r="M30" s="373"/>
      <c r="N30" s="374"/>
      <c r="O30" s="374"/>
      <c r="P30" s="374"/>
      <c r="Q30" s="374"/>
      <c r="R30" s="374"/>
      <c r="S30" s="374"/>
      <c r="T30" s="374"/>
      <c r="U30" s="374"/>
      <c r="V30" s="375"/>
    </row>
    <row r="31" spans="1:22" ht="14.5" customHeight="1" x14ac:dyDescent="0.45">
      <c r="A31" s="75">
        <v>17</v>
      </c>
      <c r="B31" s="80"/>
      <c r="C31" s="80"/>
      <c r="D31" s="81">
        <f>D30</f>
        <v>4800000000</v>
      </c>
      <c r="E31" s="78">
        <v>4480029000</v>
      </c>
      <c r="F31" s="79"/>
      <c r="G31" s="395"/>
      <c r="H31" s="79"/>
      <c r="I31" s="79"/>
      <c r="J31" s="79"/>
      <c r="K31" s="79"/>
      <c r="L31" s="28"/>
      <c r="M31" s="373"/>
      <c r="N31" s="374"/>
      <c r="O31" s="374"/>
      <c r="P31" s="374"/>
      <c r="Q31" s="374"/>
      <c r="R31" s="374"/>
      <c r="S31" s="374"/>
      <c r="T31" s="374"/>
      <c r="U31" s="374"/>
      <c r="V31" s="375"/>
    </row>
    <row r="32" spans="1:22" ht="14.5" customHeight="1" x14ac:dyDescent="0.45">
      <c r="A32" s="75">
        <v>18</v>
      </c>
      <c r="B32" s="80"/>
      <c r="C32" s="80"/>
      <c r="D32" s="81">
        <f>D31</f>
        <v>4800000000</v>
      </c>
      <c r="E32" s="78">
        <v>4630029000</v>
      </c>
      <c r="F32" s="79"/>
      <c r="G32" s="395"/>
      <c r="H32" s="79"/>
      <c r="I32" s="79"/>
      <c r="J32" s="79"/>
      <c r="K32" s="79"/>
      <c r="L32" s="28"/>
      <c r="M32" s="373"/>
      <c r="N32" s="374"/>
      <c r="O32" s="374"/>
      <c r="P32" s="374"/>
      <c r="Q32" s="374"/>
      <c r="R32" s="374"/>
      <c r="S32" s="374"/>
      <c r="T32" s="374"/>
      <c r="U32" s="374"/>
      <c r="V32" s="375"/>
    </row>
    <row r="33" spans="1:22" ht="14.5" customHeight="1" x14ac:dyDescent="0.45">
      <c r="A33" s="75" t="s">
        <v>160</v>
      </c>
      <c r="B33" s="80"/>
      <c r="C33" s="80"/>
      <c r="D33" s="80" t="s">
        <v>160</v>
      </c>
      <c r="E33" s="80" t="s">
        <v>160</v>
      </c>
      <c r="F33" s="79"/>
      <c r="G33" s="395"/>
      <c r="H33" s="79"/>
      <c r="I33" s="79"/>
      <c r="J33" s="79"/>
      <c r="K33" s="79"/>
      <c r="L33" s="28"/>
      <c r="M33" s="373"/>
      <c r="N33" s="374"/>
      <c r="O33" s="374"/>
      <c r="P33" s="374"/>
      <c r="Q33" s="374"/>
      <c r="R33" s="374"/>
      <c r="S33" s="374"/>
      <c r="T33" s="374"/>
      <c r="U33" s="374"/>
      <c r="V33" s="375"/>
    </row>
    <row r="34" spans="1:22" ht="14.5" customHeight="1" x14ac:dyDescent="0.45">
      <c r="A34" s="75" t="s">
        <v>160</v>
      </c>
      <c r="B34" s="79"/>
      <c r="C34" s="79"/>
      <c r="D34" s="80" t="s">
        <v>160</v>
      </c>
      <c r="E34" s="80" t="s">
        <v>160</v>
      </c>
      <c r="F34" s="79"/>
      <c r="G34" s="395"/>
      <c r="H34" s="79"/>
      <c r="I34" s="79"/>
      <c r="J34" s="79"/>
      <c r="K34" s="79"/>
      <c r="L34" s="28"/>
      <c r="M34" s="373"/>
      <c r="N34" s="374"/>
      <c r="O34" s="374"/>
      <c r="P34" s="374"/>
      <c r="Q34" s="374"/>
      <c r="R34" s="374"/>
      <c r="S34" s="374"/>
      <c r="T34" s="374"/>
      <c r="U34" s="374"/>
      <c r="V34" s="375"/>
    </row>
    <row r="35" spans="1:22" ht="14.5" customHeight="1" x14ac:dyDescent="0.45">
      <c r="A35" s="75">
        <v>21</v>
      </c>
      <c r="B35" s="79"/>
      <c r="C35" s="79"/>
      <c r="D35" s="78">
        <f>170%*B9</f>
        <v>5100000000</v>
      </c>
      <c r="E35" s="81">
        <v>5080000000</v>
      </c>
      <c r="F35" s="79"/>
      <c r="G35" s="395"/>
      <c r="H35" s="79"/>
      <c r="I35" s="79"/>
      <c r="J35" s="79"/>
      <c r="K35" s="79"/>
      <c r="M35" s="373"/>
      <c r="N35" s="374"/>
      <c r="O35" s="374"/>
      <c r="P35" s="374"/>
      <c r="Q35" s="374"/>
      <c r="R35" s="374"/>
      <c r="S35" s="374"/>
      <c r="T35" s="374"/>
      <c r="U35" s="374"/>
      <c r="V35" s="375"/>
    </row>
    <row r="36" spans="1:22" ht="14.5" customHeight="1" x14ac:dyDescent="0.45">
      <c r="A36" s="75">
        <v>22</v>
      </c>
      <c r="B36" s="79"/>
      <c r="C36" s="79"/>
      <c r="D36" s="78">
        <f>D35</f>
        <v>5100000000</v>
      </c>
      <c r="E36" s="116">
        <v>5230000000</v>
      </c>
      <c r="F36" s="79"/>
      <c r="G36" s="395"/>
      <c r="H36" s="79"/>
      <c r="I36" s="79"/>
      <c r="J36" s="79"/>
      <c r="K36" s="79"/>
      <c r="M36" s="373"/>
      <c r="N36" s="374"/>
      <c r="O36" s="374"/>
      <c r="P36" s="374"/>
      <c r="Q36" s="374"/>
      <c r="R36" s="374"/>
      <c r="S36" s="374"/>
      <c r="T36" s="374"/>
      <c r="U36" s="374"/>
      <c r="V36" s="375"/>
    </row>
    <row r="37" spans="1:22" ht="14.5" customHeight="1" x14ac:dyDescent="0.45">
      <c r="A37" s="75" t="s">
        <v>160</v>
      </c>
      <c r="B37" s="79"/>
      <c r="C37" s="79"/>
      <c r="D37" s="80" t="s">
        <v>160</v>
      </c>
      <c r="E37" s="80" t="s">
        <v>160</v>
      </c>
      <c r="F37" s="79"/>
      <c r="G37" s="395"/>
      <c r="H37" s="79"/>
      <c r="I37" s="79"/>
      <c r="J37" s="79"/>
      <c r="K37" s="79"/>
      <c r="M37" s="373"/>
      <c r="N37" s="374"/>
      <c r="O37" s="374"/>
      <c r="P37" s="374"/>
      <c r="Q37" s="374"/>
      <c r="R37" s="374"/>
      <c r="S37" s="374"/>
      <c r="T37" s="374"/>
      <c r="U37" s="374"/>
      <c r="V37" s="375"/>
    </row>
    <row r="38" spans="1:22" ht="14.5" customHeight="1" x14ac:dyDescent="0.45">
      <c r="A38" s="75" t="s">
        <v>160</v>
      </c>
      <c r="B38" s="79"/>
      <c r="C38" s="79"/>
      <c r="D38" s="80" t="s">
        <v>160</v>
      </c>
      <c r="E38" s="80" t="s">
        <v>160</v>
      </c>
      <c r="F38" s="79"/>
      <c r="G38" s="395"/>
      <c r="H38" s="79"/>
      <c r="I38" s="79"/>
      <c r="J38" s="79"/>
      <c r="K38" s="79"/>
      <c r="M38" s="373"/>
      <c r="N38" s="374"/>
      <c r="O38" s="374"/>
      <c r="P38" s="374"/>
      <c r="Q38" s="374"/>
      <c r="R38" s="374"/>
      <c r="S38" s="374"/>
      <c r="T38" s="374"/>
      <c r="U38" s="374"/>
      <c r="V38" s="375"/>
    </row>
    <row r="39" spans="1:22" ht="14.5" customHeight="1" x14ac:dyDescent="0.35">
      <c r="A39" s="77">
        <v>32</v>
      </c>
      <c r="B39" s="79"/>
      <c r="C39" s="79"/>
      <c r="D39" s="78">
        <f>190%*B9</f>
        <v>5700000000</v>
      </c>
      <c r="E39" s="78">
        <v>6730029000</v>
      </c>
      <c r="F39" s="79"/>
      <c r="G39" s="395"/>
      <c r="H39" s="79"/>
      <c r="I39" s="79"/>
      <c r="J39" s="79"/>
      <c r="K39" s="79"/>
      <c r="M39" s="373"/>
      <c r="N39" s="374"/>
      <c r="O39" s="374"/>
      <c r="P39" s="374"/>
      <c r="Q39" s="374"/>
      <c r="R39" s="374"/>
      <c r="S39" s="374"/>
      <c r="T39" s="374"/>
      <c r="U39" s="374"/>
      <c r="V39" s="375"/>
    </row>
    <row r="40" spans="1:22" ht="14.5" customHeight="1" x14ac:dyDescent="0.35">
      <c r="A40" s="77">
        <v>33</v>
      </c>
      <c r="B40" s="79"/>
      <c r="C40" s="79"/>
      <c r="D40" s="78">
        <f>D39</f>
        <v>5700000000</v>
      </c>
      <c r="E40" s="78">
        <v>6880029000</v>
      </c>
      <c r="F40" s="79"/>
      <c r="G40" s="395"/>
      <c r="H40" s="79"/>
      <c r="I40" s="79"/>
      <c r="J40" s="79"/>
      <c r="K40" s="84"/>
      <c r="M40" s="373"/>
      <c r="N40" s="374"/>
      <c r="O40" s="374"/>
      <c r="P40" s="374"/>
      <c r="Q40" s="374"/>
      <c r="R40" s="374"/>
      <c r="S40" s="374"/>
      <c r="T40" s="374"/>
      <c r="U40" s="374"/>
      <c r="V40" s="375"/>
    </row>
    <row r="41" spans="1:22" ht="14.5" customHeight="1" x14ac:dyDescent="0.35">
      <c r="A41" s="77" t="s">
        <v>160</v>
      </c>
      <c r="B41" s="79"/>
      <c r="C41" s="79"/>
      <c r="D41" s="80" t="s">
        <v>160</v>
      </c>
      <c r="E41" s="80" t="s">
        <v>160</v>
      </c>
      <c r="F41" s="79"/>
      <c r="G41" s="395"/>
      <c r="H41" s="79"/>
      <c r="I41" s="79"/>
      <c r="J41" s="79"/>
      <c r="K41" s="79"/>
      <c r="M41" s="373"/>
      <c r="N41" s="374"/>
      <c r="O41" s="374"/>
      <c r="P41" s="374"/>
      <c r="Q41" s="374"/>
      <c r="R41" s="374"/>
      <c r="S41" s="374"/>
      <c r="T41" s="374"/>
      <c r="U41" s="374"/>
      <c r="V41" s="375"/>
    </row>
    <row r="42" spans="1:22" ht="14.5" customHeight="1" x14ac:dyDescent="0.35">
      <c r="A42" s="77" t="s">
        <v>160</v>
      </c>
      <c r="B42" s="79"/>
      <c r="C42" s="79"/>
      <c r="D42" s="80" t="s">
        <v>160</v>
      </c>
      <c r="E42" s="80" t="s">
        <v>160</v>
      </c>
      <c r="F42" s="79"/>
      <c r="G42" s="395"/>
      <c r="H42" s="79"/>
      <c r="I42" s="79"/>
      <c r="J42" s="79"/>
      <c r="K42" s="79"/>
      <c r="M42" s="373"/>
      <c r="N42" s="374"/>
      <c r="O42" s="374"/>
      <c r="P42" s="374"/>
      <c r="Q42" s="374"/>
      <c r="R42" s="374"/>
      <c r="S42" s="374"/>
      <c r="T42" s="374"/>
      <c r="U42" s="374"/>
      <c r="V42" s="375"/>
    </row>
    <row r="43" spans="1:22" ht="14.5" customHeight="1" x14ac:dyDescent="0.45">
      <c r="A43" s="75">
        <v>36</v>
      </c>
      <c r="B43" s="79"/>
      <c r="C43" s="79"/>
      <c r="D43" s="78">
        <f>200%*B9</f>
        <v>6000000000</v>
      </c>
      <c r="E43" s="80" t="s">
        <v>160</v>
      </c>
      <c r="F43" s="79"/>
      <c r="G43" s="395"/>
      <c r="H43" s="79"/>
      <c r="I43" s="79"/>
      <c r="J43" s="79"/>
      <c r="K43" s="79"/>
      <c r="M43" s="373"/>
      <c r="N43" s="374"/>
      <c r="O43" s="374"/>
      <c r="P43" s="374"/>
      <c r="Q43" s="374"/>
      <c r="R43" s="374"/>
      <c r="S43" s="374"/>
      <c r="T43" s="374"/>
      <c r="U43" s="374"/>
      <c r="V43" s="375"/>
    </row>
    <row r="44" spans="1:22" ht="15" customHeight="1" x14ac:dyDescent="0.45">
      <c r="A44" s="75">
        <v>37</v>
      </c>
      <c r="B44" s="79"/>
      <c r="C44" s="79"/>
      <c r="D44" s="78">
        <f>D43</f>
        <v>6000000000</v>
      </c>
      <c r="E44" s="80" t="s">
        <v>160</v>
      </c>
      <c r="F44" s="79"/>
      <c r="G44" s="395"/>
      <c r="H44" s="79"/>
      <c r="I44" s="79"/>
      <c r="J44" s="79"/>
      <c r="K44" s="79"/>
      <c r="M44" s="373"/>
      <c r="N44" s="374"/>
      <c r="O44" s="374"/>
      <c r="P44" s="374"/>
      <c r="Q44" s="374"/>
      <c r="R44" s="374"/>
      <c r="S44" s="374"/>
      <c r="T44" s="374"/>
      <c r="U44" s="374"/>
      <c r="V44" s="375"/>
    </row>
    <row r="45" spans="1:22" ht="18.5" x14ac:dyDescent="0.35">
      <c r="A45" s="77" t="s">
        <v>160</v>
      </c>
      <c r="B45" s="79"/>
      <c r="C45" s="79"/>
      <c r="D45" s="80" t="s">
        <v>160</v>
      </c>
      <c r="E45" s="80" t="s">
        <v>160</v>
      </c>
      <c r="F45" s="79"/>
      <c r="G45" s="395"/>
      <c r="H45" s="79"/>
      <c r="I45" s="79"/>
      <c r="J45" s="79"/>
      <c r="K45" s="79"/>
      <c r="M45" s="373"/>
      <c r="N45" s="374"/>
      <c r="O45" s="374"/>
      <c r="P45" s="374"/>
      <c r="Q45" s="374"/>
      <c r="R45" s="374"/>
      <c r="S45" s="374"/>
      <c r="T45" s="374"/>
      <c r="U45" s="374"/>
      <c r="V45" s="375"/>
    </row>
    <row r="46" spans="1:22" ht="18.5" x14ac:dyDescent="0.35">
      <c r="A46" s="77">
        <v>49</v>
      </c>
      <c r="B46" s="79"/>
      <c r="C46" s="79"/>
      <c r="D46" s="78">
        <f>D44-H29</f>
        <v>5127300000</v>
      </c>
      <c r="E46" s="80" t="s">
        <v>160</v>
      </c>
      <c r="F46" s="79"/>
      <c r="G46" s="395"/>
      <c r="H46" s="79"/>
      <c r="I46" s="79"/>
      <c r="J46" s="78">
        <f>D46</f>
        <v>5127300000</v>
      </c>
      <c r="K46" s="79"/>
      <c r="M46" s="373"/>
      <c r="N46" s="374"/>
      <c r="O46" s="374"/>
      <c r="P46" s="374"/>
      <c r="Q46" s="374"/>
      <c r="R46" s="374"/>
      <c r="S46" s="374"/>
      <c r="T46" s="374"/>
      <c r="U46" s="374"/>
      <c r="V46" s="375"/>
    </row>
    <row r="47" spans="1:22" ht="18.5" x14ac:dyDescent="0.35">
      <c r="A47" s="77">
        <v>51</v>
      </c>
      <c r="B47" s="79"/>
      <c r="C47" s="79"/>
      <c r="D47" s="80" t="s">
        <v>160</v>
      </c>
      <c r="E47" s="78">
        <v>6880029000</v>
      </c>
      <c r="F47" s="79"/>
      <c r="G47" s="396"/>
      <c r="H47" s="79"/>
      <c r="I47" s="79"/>
      <c r="J47" s="79"/>
      <c r="K47" s="82">
        <f>E47</f>
        <v>6880029000</v>
      </c>
      <c r="M47" s="373"/>
      <c r="N47" s="374"/>
      <c r="O47" s="374"/>
      <c r="P47" s="374"/>
      <c r="Q47" s="374"/>
      <c r="R47" s="374"/>
      <c r="S47" s="374"/>
      <c r="T47" s="374"/>
      <c r="U47" s="374"/>
      <c r="V47" s="375"/>
    </row>
    <row r="48" spans="1:22" ht="18.5" x14ac:dyDescent="0.45">
      <c r="A48" s="65"/>
      <c r="B48" s="65"/>
      <c r="C48" s="65"/>
      <c r="D48" s="65"/>
      <c r="E48" s="65"/>
      <c r="F48" s="65"/>
      <c r="G48" s="65"/>
      <c r="H48" s="65"/>
      <c r="I48" s="65"/>
      <c r="J48" s="65"/>
      <c r="K48" s="65"/>
      <c r="M48" s="373"/>
      <c r="N48" s="374"/>
      <c r="O48" s="374"/>
      <c r="P48" s="374"/>
      <c r="Q48" s="374"/>
      <c r="R48" s="374"/>
      <c r="S48" s="374"/>
      <c r="T48" s="374"/>
      <c r="U48" s="374"/>
      <c r="V48" s="375"/>
    </row>
    <row r="49" spans="12:22" ht="14.5" customHeight="1" x14ac:dyDescent="0.35">
      <c r="M49" s="373"/>
      <c r="N49" s="374"/>
      <c r="O49" s="374"/>
      <c r="P49" s="374"/>
      <c r="Q49" s="374"/>
      <c r="R49" s="374"/>
      <c r="S49" s="374"/>
      <c r="T49" s="374"/>
      <c r="U49" s="374"/>
      <c r="V49" s="375"/>
    </row>
    <row r="50" spans="12:22" ht="15" customHeight="1" x14ac:dyDescent="0.35">
      <c r="M50" s="373"/>
      <c r="N50" s="374"/>
      <c r="O50" s="374"/>
      <c r="P50" s="374"/>
      <c r="Q50" s="374"/>
      <c r="R50" s="374"/>
      <c r="S50" s="374"/>
      <c r="T50" s="374"/>
      <c r="U50" s="374"/>
      <c r="V50" s="375"/>
    </row>
    <row r="51" spans="12:22" ht="14.5" customHeight="1" x14ac:dyDescent="0.35">
      <c r="M51" s="373"/>
      <c r="N51" s="374"/>
      <c r="O51" s="374"/>
      <c r="P51" s="374"/>
      <c r="Q51" s="374"/>
      <c r="R51" s="374"/>
      <c r="S51" s="374"/>
      <c r="T51" s="374"/>
      <c r="U51" s="374"/>
      <c r="V51" s="375"/>
    </row>
    <row r="52" spans="12:22" ht="14.5" customHeight="1" x14ac:dyDescent="0.35">
      <c r="M52" s="373"/>
      <c r="N52" s="374"/>
      <c r="O52" s="374"/>
      <c r="P52" s="374"/>
      <c r="Q52" s="374"/>
      <c r="R52" s="374"/>
      <c r="S52" s="374"/>
      <c r="T52" s="374"/>
      <c r="U52" s="374"/>
      <c r="V52" s="375"/>
    </row>
    <row r="53" spans="12:22" ht="15" customHeight="1" x14ac:dyDescent="0.35">
      <c r="M53" s="373"/>
      <c r="N53" s="374"/>
      <c r="O53" s="374"/>
      <c r="P53" s="374"/>
      <c r="Q53" s="374"/>
      <c r="R53" s="374"/>
      <c r="S53" s="374"/>
      <c r="T53" s="374"/>
      <c r="U53" s="374"/>
      <c r="V53" s="375"/>
    </row>
    <row r="54" spans="12:22" x14ac:dyDescent="0.35">
      <c r="L54" s="28"/>
      <c r="M54" s="373"/>
      <c r="N54" s="374"/>
      <c r="O54" s="374"/>
      <c r="P54" s="374"/>
      <c r="Q54" s="374"/>
      <c r="R54" s="374"/>
      <c r="S54" s="374"/>
      <c r="T54" s="374"/>
      <c r="U54" s="374"/>
      <c r="V54" s="375"/>
    </row>
    <row r="55" spans="12:22" ht="15" thickBot="1" x14ac:dyDescent="0.4">
      <c r="L55" s="51"/>
      <c r="M55" s="376"/>
      <c r="N55" s="377"/>
      <c r="O55" s="377"/>
      <c r="P55" s="377"/>
      <c r="Q55" s="377"/>
      <c r="R55" s="377"/>
      <c r="S55" s="377"/>
      <c r="T55" s="377"/>
      <c r="U55" s="377"/>
      <c r="V55" s="378"/>
    </row>
  </sheetData>
  <mergeCells count="39">
    <mergeCell ref="L10:L13"/>
    <mergeCell ref="G1:J1"/>
    <mergeCell ref="B13:C13"/>
    <mergeCell ref="D13:E13"/>
    <mergeCell ref="D14:E14"/>
    <mergeCell ref="A1:E1"/>
    <mergeCell ref="A2:B2"/>
    <mergeCell ref="D2:E2"/>
    <mergeCell ref="A11:E11"/>
    <mergeCell ref="B12:C12"/>
    <mergeCell ref="D12:E12"/>
    <mergeCell ref="B14:C14"/>
    <mergeCell ref="G2:H2"/>
    <mergeCell ref="G4:H5"/>
    <mergeCell ref="I4:I5"/>
    <mergeCell ref="J4:J5"/>
    <mergeCell ref="B17:C17"/>
    <mergeCell ref="D17:E17"/>
    <mergeCell ref="A16:K16"/>
    <mergeCell ref="G19:G47"/>
    <mergeCell ref="J17:K17"/>
    <mergeCell ref="F17:G17"/>
    <mergeCell ref="H17:I17"/>
    <mergeCell ref="G7:H7"/>
    <mergeCell ref="M20:V55"/>
    <mergeCell ref="G8:H8"/>
    <mergeCell ref="L1:P1"/>
    <mergeCell ref="M2:N2"/>
    <mergeCell ref="M3:N3"/>
    <mergeCell ref="M4:N4"/>
    <mergeCell ref="M5:N5"/>
    <mergeCell ref="M6:N6"/>
    <mergeCell ref="O2:P2"/>
    <mergeCell ref="O3:P3"/>
    <mergeCell ref="O4:P4"/>
    <mergeCell ref="O5:P5"/>
    <mergeCell ref="O6:P6"/>
    <mergeCell ref="M7:N7"/>
    <mergeCell ref="O7:P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22F7D-1B8D-46E6-AF7E-A8FA1AF55591}">
  <dimension ref="A1:V64"/>
  <sheetViews>
    <sheetView zoomScale="49" zoomScaleNormal="55" workbookViewId="0">
      <pane ySplit="19" topLeftCell="A20" activePane="bottomLeft" state="frozen"/>
      <selection pane="bottomLeft" activeCell="M21" sqref="M21:V64"/>
    </sheetView>
  </sheetViews>
  <sheetFormatPr defaultRowHeight="14.5" x14ac:dyDescent="0.35"/>
  <cols>
    <col min="1" max="1" width="19.81640625" customWidth="1"/>
    <col min="2" max="2" width="23.54296875" bestFit="1" customWidth="1"/>
    <col min="3" max="3" width="23.26953125" bestFit="1" customWidth="1"/>
    <col min="4" max="4" width="24.90625" bestFit="1" customWidth="1"/>
    <col min="5" max="5" width="23.54296875" bestFit="1" customWidth="1"/>
    <col min="6" max="6" width="24" bestFit="1" customWidth="1"/>
    <col min="7" max="7" width="18.81640625" customWidth="1"/>
    <col min="8" max="8" width="21.453125" bestFit="1" customWidth="1"/>
    <col min="9" max="9" width="23.26953125" bestFit="1" customWidth="1"/>
    <col min="10" max="10" width="22.453125" bestFit="1" customWidth="1"/>
    <col min="11" max="11" width="22.54296875" customWidth="1"/>
    <col min="12" max="12" width="14.90625" customWidth="1"/>
    <col min="13" max="13" width="23.26953125" customWidth="1"/>
    <col min="16" max="16" width="14" customWidth="1"/>
  </cols>
  <sheetData>
    <row r="1" spans="1:16" s="112" customFormat="1" ht="34" customHeight="1" x14ac:dyDescent="0.35">
      <c r="A1" s="416" t="s">
        <v>170</v>
      </c>
      <c r="B1" s="416"/>
      <c r="C1" s="416"/>
      <c r="D1" s="416"/>
      <c r="E1" s="416"/>
      <c r="G1" s="380" t="s">
        <v>190</v>
      </c>
      <c r="H1" s="380"/>
      <c r="I1" s="380"/>
      <c r="J1" s="380"/>
      <c r="L1" s="380" t="s">
        <v>198</v>
      </c>
      <c r="M1" s="380"/>
      <c r="N1" s="380"/>
      <c r="O1" s="380"/>
      <c r="P1" s="380"/>
    </row>
    <row r="2" spans="1:16" ht="18.5" x14ac:dyDescent="0.45">
      <c r="A2" s="417" t="s">
        <v>114</v>
      </c>
      <c r="B2" s="418"/>
      <c r="C2" s="65"/>
      <c r="D2" s="419" t="s">
        <v>67</v>
      </c>
      <c r="E2" s="420"/>
      <c r="F2" s="65"/>
      <c r="G2" s="408" t="s">
        <v>33</v>
      </c>
      <c r="H2" s="408"/>
      <c r="I2" s="99" t="s">
        <v>114</v>
      </c>
      <c r="J2" s="98" t="s">
        <v>174</v>
      </c>
      <c r="K2" s="65"/>
      <c r="L2" s="90"/>
      <c r="M2" s="381" t="s">
        <v>114</v>
      </c>
      <c r="N2" s="381"/>
      <c r="O2" s="419" t="s">
        <v>174</v>
      </c>
      <c r="P2" s="419"/>
    </row>
    <row r="3" spans="1:16" ht="23.5" x14ac:dyDescent="0.45">
      <c r="A3" s="86" t="s">
        <v>110</v>
      </c>
      <c r="B3" s="76" t="s">
        <v>21</v>
      </c>
      <c r="C3" s="65"/>
      <c r="D3" s="86" t="s">
        <v>110</v>
      </c>
      <c r="E3" s="76" t="s">
        <v>21</v>
      </c>
      <c r="F3" s="65"/>
      <c r="G3" s="368" t="s">
        <v>191</v>
      </c>
      <c r="H3" s="369"/>
      <c r="I3" s="71" t="s">
        <v>193</v>
      </c>
      <c r="J3" s="71" t="s">
        <v>193</v>
      </c>
      <c r="K3" s="65"/>
      <c r="L3" s="106" t="s">
        <v>111</v>
      </c>
      <c r="M3" s="382" t="s">
        <v>201</v>
      </c>
      <c r="N3" s="382"/>
      <c r="O3" s="386" t="s">
        <v>69</v>
      </c>
      <c r="P3" s="386"/>
    </row>
    <row r="4" spans="1:16" ht="18.5" x14ac:dyDescent="0.45">
      <c r="A4" s="86" t="s">
        <v>111</v>
      </c>
      <c r="B4" s="76" t="s">
        <v>175</v>
      </c>
      <c r="C4" s="65"/>
      <c r="D4" s="86" t="s">
        <v>111</v>
      </c>
      <c r="E4" s="87" t="s">
        <v>175</v>
      </c>
      <c r="F4" s="65"/>
      <c r="G4" s="409" t="s">
        <v>192</v>
      </c>
      <c r="H4" s="409"/>
      <c r="I4" s="410" t="s">
        <v>193</v>
      </c>
      <c r="J4" s="411" t="s">
        <v>194</v>
      </c>
      <c r="K4" s="65"/>
      <c r="L4" s="90" t="s">
        <v>200</v>
      </c>
      <c r="M4" s="383" t="s">
        <v>202</v>
      </c>
      <c r="N4" s="384"/>
      <c r="O4" s="412" t="s">
        <v>204</v>
      </c>
      <c r="P4" s="413"/>
    </row>
    <row r="5" spans="1:16" ht="18.5" x14ac:dyDescent="0.45">
      <c r="A5" s="88" t="s">
        <v>7</v>
      </c>
      <c r="B5" s="76" t="s">
        <v>118</v>
      </c>
      <c r="C5" s="65"/>
      <c r="D5" s="86" t="s">
        <v>7</v>
      </c>
      <c r="E5" s="89" t="s">
        <v>116</v>
      </c>
      <c r="F5" s="65"/>
      <c r="G5" s="409"/>
      <c r="H5" s="409"/>
      <c r="I5" s="410"/>
      <c r="J5" s="411"/>
      <c r="K5" s="65"/>
      <c r="L5" s="90" t="s">
        <v>199</v>
      </c>
      <c r="M5" s="383" t="s">
        <v>43</v>
      </c>
      <c r="N5" s="384"/>
      <c r="O5" s="383" t="s">
        <v>70</v>
      </c>
      <c r="P5" s="384"/>
    </row>
    <row r="6" spans="1:16" ht="37" x14ac:dyDescent="0.45">
      <c r="A6" s="88" t="s">
        <v>112</v>
      </c>
      <c r="B6" s="76" t="s">
        <v>113</v>
      </c>
      <c r="C6" s="65"/>
      <c r="D6" s="90" t="s">
        <v>112</v>
      </c>
      <c r="E6" s="76" t="s">
        <v>113</v>
      </c>
      <c r="F6" s="65"/>
      <c r="G6" s="69" t="s">
        <v>195</v>
      </c>
      <c r="H6" s="69"/>
      <c r="I6" s="71" t="s">
        <v>193</v>
      </c>
      <c r="J6" s="72" t="s">
        <v>194</v>
      </c>
      <c r="K6" s="65"/>
      <c r="L6" s="107" t="s">
        <v>110</v>
      </c>
      <c r="M6" s="414" t="s">
        <v>21</v>
      </c>
      <c r="N6" s="415"/>
      <c r="O6" s="414" t="s">
        <v>21</v>
      </c>
      <c r="P6" s="415"/>
    </row>
    <row r="7" spans="1:16" ht="20" customHeight="1" x14ac:dyDescent="0.45">
      <c r="A7" s="88" t="s">
        <v>121</v>
      </c>
      <c r="B7" s="76" t="s">
        <v>176</v>
      </c>
      <c r="C7" s="65"/>
      <c r="D7" s="90" t="s">
        <v>10</v>
      </c>
      <c r="E7" s="76" t="s">
        <v>176</v>
      </c>
      <c r="F7" s="65"/>
      <c r="G7" s="368" t="s">
        <v>27</v>
      </c>
      <c r="H7" s="369"/>
      <c r="I7" s="71" t="s">
        <v>193</v>
      </c>
      <c r="J7" s="71" t="s">
        <v>193</v>
      </c>
      <c r="K7" s="67"/>
      <c r="L7" s="107" t="s">
        <v>91</v>
      </c>
      <c r="M7" s="382" t="s">
        <v>92</v>
      </c>
      <c r="N7" s="382"/>
      <c r="O7" s="386" t="s">
        <v>93</v>
      </c>
      <c r="P7" s="386"/>
    </row>
    <row r="8" spans="1:16" ht="23.5" x14ac:dyDescent="0.45">
      <c r="A8" s="90" t="s">
        <v>12</v>
      </c>
      <c r="B8" s="76" t="s">
        <v>152</v>
      </c>
      <c r="C8" s="65"/>
      <c r="D8" s="90" t="s">
        <v>12</v>
      </c>
      <c r="E8" s="76" t="s">
        <v>177</v>
      </c>
      <c r="F8" s="65"/>
      <c r="G8" s="439" t="s">
        <v>28</v>
      </c>
      <c r="H8" s="439"/>
      <c r="I8" s="71" t="s">
        <v>193</v>
      </c>
      <c r="J8" s="109" t="s">
        <v>203</v>
      </c>
      <c r="K8" s="67"/>
      <c r="L8" s="52"/>
    </row>
    <row r="9" spans="1:16" ht="23.5" x14ac:dyDescent="0.45">
      <c r="A9" s="90" t="s">
        <v>117</v>
      </c>
      <c r="B9" s="74">
        <v>1000000000</v>
      </c>
      <c r="C9" s="65"/>
      <c r="D9" s="86" t="s">
        <v>117</v>
      </c>
      <c r="E9" s="74">
        <v>1000000000</v>
      </c>
      <c r="F9" s="65"/>
      <c r="G9" s="69" t="s">
        <v>29</v>
      </c>
      <c r="H9" s="69"/>
      <c r="I9" s="71" t="s">
        <v>193</v>
      </c>
      <c r="J9" s="71" t="s">
        <v>193</v>
      </c>
      <c r="K9" s="65"/>
    </row>
    <row r="10" spans="1:16" ht="26" x14ac:dyDescent="0.45">
      <c r="A10" s="65"/>
      <c r="B10" s="65"/>
      <c r="C10" s="65"/>
      <c r="D10" s="65"/>
      <c r="E10" s="65"/>
      <c r="F10" s="65"/>
      <c r="G10" s="69" t="s">
        <v>212</v>
      </c>
      <c r="H10" s="69"/>
      <c r="I10" s="72" t="s">
        <v>194</v>
      </c>
      <c r="J10" s="100" t="s">
        <v>193</v>
      </c>
      <c r="K10" s="65"/>
    </row>
    <row r="11" spans="1:16" ht="23.5" x14ac:dyDescent="0.45">
      <c r="A11" s="421" t="s">
        <v>119</v>
      </c>
      <c r="B11" s="421"/>
      <c r="C11" s="421"/>
      <c r="D11" s="421"/>
      <c r="E11" s="421"/>
      <c r="F11" s="65"/>
      <c r="G11" s="110" t="s">
        <v>215</v>
      </c>
      <c r="H11" s="111"/>
      <c r="I11" s="71" t="s">
        <v>193</v>
      </c>
      <c r="J11" s="71" t="s">
        <v>193</v>
      </c>
      <c r="K11" s="65"/>
    </row>
    <row r="12" spans="1:16" ht="19" thickBot="1" x14ac:dyDescent="0.5">
      <c r="A12" s="92"/>
      <c r="B12" s="381" t="s">
        <v>114</v>
      </c>
      <c r="C12" s="381"/>
      <c r="D12" s="419" t="s">
        <v>67</v>
      </c>
      <c r="E12" s="420"/>
      <c r="F12" s="93"/>
      <c r="G12" s="65"/>
      <c r="H12" s="65"/>
      <c r="I12" s="65"/>
      <c r="J12" s="65"/>
      <c r="K12" s="65"/>
    </row>
    <row r="13" spans="1:16" ht="23.5" x14ac:dyDescent="0.45">
      <c r="A13" s="90" t="s">
        <v>150</v>
      </c>
      <c r="B13" s="401">
        <f>'Premi H+ 500 mio'!AR45*'Heritage+ vs Sun 100'!B9/1000</f>
        <v>48240000</v>
      </c>
      <c r="C13" s="401"/>
      <c r="D13" s="401">
        <v>17633000</v>
      </c>
      <c r="E13" s="401"/>
      <c r="F13" s="65"/>
      <c r="G13" s="424" t="s">
        <v>217</v>
      </c>
      <c r="H13" s="425"/>
      <c r="I13" s="115" t="s">
        <v>193</v>
      </c>
      <c r="J13" s="71" t="s">
        <v>193</v>
      </c>
      <c r="K13" s="65"/>
    </row>
    <row r="14" spans="1:16" ht="18.5" x14ac:dyDescent="0.45">
      <c r="A14" s="90" t="s">
        <v>120</v>
      </c>
      <c r="B14" s="402">
        <f>B13*10</f>
        <v>482400000</v>
      </c>
      <c r="C14" s="402"/>
      <c r="D14" s="422">
        <f>D13*10</f>
        <v>176330000</v>
      </c>
      <c r="E14" s="423"/>
      <c r="F14" s="91"/>
      <c r="G14" s="426"/>
      <c r="H14" s="427"/>
      <c r="I14" s="65"/>
      <c r="J14" s="65"/>
      <c r="K14" s="65"/>
    </row>
    <row r="15" spans="1:16" ht="19" thickBot="1" x14ac:dyDescent="0.5">
      <c r="A15" s="65"/>
      <c r="B15" s="65"/>
      <c r="C15" s="65"/>
      <c r="D15" s="65"/>
      <c r="E15" s="65"/>
      <c r="F15" s="65"/>
      <c r="G15" s="428"/>
      <c r="H15" s="429"/>
      <c r="I15" s="65"/>
      <c r="J15" s="65"/>
      <c r="K15" s="65"/>
    </row>
    <row r="16" spans="1:16" ht="18.5" x14ac:dyDescent="0.45">
      <c r="A16" s="65"/>
      <c r="B16" s="65"/>
      <c r="C16" s="65"/>
      <c r="D16" s="65"/>
      <c r="E16" s="65"/>
      <c r="F16" s="65"/>
      <c r="G16" s="65"/>
      <c r="H16" s="65"/>
      <c r="I16" s="65"/>
      <c r="J16" s="65"/>
      <c r="K16" s="65"/>
    </row>
    <row r="17" spans="1:22" ht="18.5" x14ac:dyDescent="0.45">
      <c r="A17" s="421" t="s">
        <v>153</v>
      </c>
      <c r="B17" s="421"/>
      <c r="C17" s="421"/>
      <c r="D17" s="421"/>
      <c r="E17" s="421"/>
      <c r="F17" s="421"/>
      <c r="G17" s="421"/>
      <c r="H17" s="421"/>
      <c r="I17" s="421"/>
      <c r="J17" s="421"/>
      <c r="K17" s="421"/>
    </row>
    <row r="18" spans="1:22" ht="54" customHeight="1" x14ac:dyDescent="0.45">
      <c r="A18" s="92" t="s">
        <v>155</v>
      </c>
      <c r="B18" s="389" t="s">
        <v>158</v>
      </c>
      <c r="C18" s="390"/>
      <c r="D18" s="391" t="s">
        <v>24</v>
      </c>
      <c r="E18" s="392"/>
      <c r="F18" s="398" t="s">
        <v>25</v>
      </c>
      <c r="G18" s="398"/>
      <c r="H18" s="397" t="s">
        <v>156</v>
      </c>
      <c r="I18" s="397"/>
      <c r="J18" s="397" t="s">
        <v>157</v>
      </c>
      <c r="K18" s="397"/>
    </row>
    <row r="19" spans="1:22" ht="34.5" customHeight="1" x14ac:dyDescent="0.45">
      <c r="A19" s="90"/>
      <c r="B19" s="94" t="s">
        <v>159</v>
      </c>
      <c r="C19" s="95" t="s">
        <v>174</v>
      </c>
      <c r="D19" s="94" t="s">
        <v>159</v>
      </c>
      <c r="E19" s="95" t="s">
        <v>174</v>
      </c>
      <c r="F19" s="94" t="s">
        <v>159</v>
      </c>
      <c r="G19" s="95" t="s">
        <v>174</v>
      </c>
      <c r="H19" s="94" t="s">
        <v>159</v>
      </c>
      <c r="I19" s="95" t="s">
        <v>174</v>
      </c>
      <c r="J19" s="94" t="s">
        <v>159</v>
      </c>
      <c r="K19" s="95" t="s">
        <v>174</v>
      </c>
    </row>
    <row r="20" spans="1:22" ht="19" thickBot="1" x14ac:dyDescent="0.5">
      <c r="A20" s="73">
        <v>1</v>
      </c>
      <c r="B20" s="78">
        <f>$B$13</f>
        <v>48240000</v>
      </c>
      <c r="C20" s="78">
        <f>$D$13</f>
        <v>17633000</v>
      </c>
      <c r="D20" s="78">
        <f>$B$9</f>
        <v>1000000000</v>
      </c>
      <c r="E20" s="78">
        <f>$E$9</f>
        <v>1000000000</v>
      </c>
      <c r="F20" s="79"/>
      <c r="G20" s="394" t="s">
        <v>13</v>
      </c>
      <c r="H20" s="79"/>
      <c r="I20" s="79"/>
      <c r="J20" s="79"/>
      <c r="K20" s="79"/>
      <c r="M20" s="68"/>
    </row>
    <row r="21" spans="1:22" ht="14.5" customHeight="1" x14ac:dyDescent="0.45">
      <c r="A21" s="75">
        <v>2</v>
      </c>
      <c r="B21" s="78">
        <f t="shared" ref="B21:B29" si="0">$B$13</f>
        <v>48240000</v>
      </c>
      <c r="C21" s="78">
        <f t="shared" ref="C21:C29" si="1">$D$13</f>
        <v>17633000</v>
      </c>
      <c r="D21" s="78">
        <f t="shared" ref="D21:D24" si="2">$B$9</f>
        <v>1000000000</v>
      </c>
      <c r="E21" s="78">
        <f t="shared" ref="E21:E33" si="3">$E$9</f>
        <v>1000000000</v>
      </c>
      <c r="F21" s="79"/>
      <c r="G21" s="395"/>
      <c r="H21" s="79"/>
      <c r="I21" s="79"/>
      <c r="J21" s="79"/>
      <c r="K21" s="79"/>
      <c r="M21" s="430" t="s">
        <v>208</v>
      </c>
      <c r="N21" s="431"/>
      <c r="O21" s="431"/>
      <c r="P21" s="431"/>
      <c r="Q21" s="431"/>
      <c r="R21" s="431"/>
      <c r="S21" s="431"/>
      <c r="T21" s="431"/>
      <c r="U21" s="431"/>
      <c r="V21" s="432"/>
    </row>
    <row r="22" spans="1:22" ht="14.5" customHeight="1" x14ac:dyDescent="0.45">
      <c r="A22" s="75">
        <v>3</v>
      </c>
      <c r="B22" s="78">
        <f t="shared" si="0"/>
        <v>48240000</v>
      </c>
      <c r="C22" s="78">
        <f t="shared" si="1"/>
        <v>17633000</v>
      </c>
      <c r="D22" s="78">
        <f t="shared" si="2"/>
        <v>1000000000</v>
      </c>
      <c r="E22" s="78">
        <f t="shared" si="3"/>
        <v>1000000000</v>
      </c>
      <c r="F22" s="79"/>
      <c r="G22" s="395"/>
      <c r="H22" s="79"/>
      <c r="I22" s="79"/>
      <c r="J22" s="79"/>
      <c r="K22" s="79"/>
      <c r="M22" s="433"/>
      <c r="N22" s="434"/>
      <c r="O22" s="434"/>
      <c r="P22" s="434"/>
      <c r="Q22" s="434"/>
      <c r="R22" s="434"/>
      <c r="S22" s="434"/>
      <c r="T22" s="434"/>
      <c r="U22" s="434"/>
      <c r="V22" s="435"/>
    </row>
    <row r="23" spans="1:22" ht="14.5" customHeight="1" x14ac:dyDescent="0.45">
      <c r="A23" s="75">
        <v>4</v>
      </c>
      <c r="B23" s="78">
        <f t="shared" si="0"/>
        <v>48240000</v>
      </c>
      <c r="C23" s="78">
        <f t="shared" si="1"/>
        <v>17633000</v>
      </c>
      <c r="D23" s="78">
        <f t="shared" si="2"/>
        <v>1000000000</v>
      </c>
      <c r="E23" s="78">
        <f t="shared" si="3"/>
        <v>1000000000</v>
      </c>
      <c r="F23" s="79"/>
      <c r="G23" s="395"/>
      <c r="H23" s="79"/>
      <c r="I23" s="79"/>
      <c r="J23" s="79"/>
      <c r="K23" s="79"/>
      <c r="M23" s="433"/>
      <c r="N23" s="434"/>
      <c r="O23" s="434"/>
      <c r="P23" s="434"/>
      <c r="Q23" s="434"/>
      <c r="R23" s="434"/>
      <c r="S23" s="434"/>
      <c r="T23" s="434"/>
      <c r="U23" s="434"/>
      <c r="V23" s="435"/>
    </row>
    <row r="24" spans="1:22" ht="14.5" customHeight="1" x14ac:dyDescent="0.45">
      <c r="A24" s="75">
        <v>5</v>
      </c>
      <c r="B24" s="78">
        <f t="shared" si="0"/>
        <v>48240000</v>
      </c>
      <c r="C24" s="78">
        <f t="shared" si="1"/>
        <v>17633000</v>
      </c>
      <c r="D24" s="78">
        <f t="shared" si="2"/>
        <v>1000000000</v>
      </c>
      <c r="E24" s="78">
        <f t="shared" si="3"/>
        <v>1000000000</v>
      </c>
      <c r="F24" s="79"/>
      <c r="G24" s="395"/>
      <c r="H24" s="79"/>
      <c r="I24" s="79"/>
      <c r="J24" s="79"/>
      <c r="K24" s="79"/>
      <c r="M24" s="433"/>
      <c r="N24" s="434"/>
      <c r="O24" s="434"/>
      <c r="P24" s="434"/>
      <c r="Q24" s="434"/>
      <c r="R24" s="434"/>
      <c r="S24" s="434"/>
      <c r="T24" s="434"/>
      <c r="U24" s="434"/>
      <c r="V24" s="435"/>
    </row>
    <row r="25" spans="1:22" ht="14.5" customHeight="1" x14ac:dyDescent="0.45">
      <c r="A25" s="75">
        <v>6</v>
      </c>
      <c r="B25" s="78">
        <f t="shared" si="0"/>
        <v>48240000</v>
      </c>
      <c r="C25" s="78">
        <f t="shared" si="1"/>
        <v>17633000</v>
      </c>
      <c r="D25" s="81">
        <f>125%*B9</f>
        <v>1250000000</v>
      </c>
      <c r="E25" s="78">
        <f t="shared" si="3"/>
        <v>1000000000</v>
      </c>
      <c r="F25" s="79"/>
      <c r="G25" s="395"/>
      <c r="H25" s="79"/>
      <c r="I25" s="79"/>
      <c r="J25" s="79"/>
      <c r="K25" s="79"/>
      <c r="M25" s="433"/>
      <c r="N25" s="434"/>
      <c r="O25" s="434"/>
      <c r="P25" s="434"/>
      <c r="Q25" s="434"/>
      <c r="R25" s="434"/>
      <c r="S25" s="434"/>
      <c r="T25" s="434"/>
      <c r="U25" s="434"/>
      <c r="V25" s="435"/>
    </row>
    <row r="26" spans="1:22" ht="14.5" customHeight="1" x14ac:dyDescent="0.45">
      <c r="A26" s="75">
        <v>7</v>
      </c>
      <c r="B26" s="78">
        <f t="shared" si="0"/>
        <v>48240000</v>
      </c>
      <c r="C26" s="78">
        <f t="shared" si="1"/>
        <v>17633000</v>
      </c>
      <c r="D26" s="81">
        <f>D25</f>
        <v>1250000000</v>
      </c>
      <c r="E26" s="78">
        <f t="shared" si="3"/>
        <v>1000000000</v>
      </c>
      <c r="F26" s="79"/>
      <c r="G26" s="395"/>
      <c r="H26" s="79"/>
      <c r="I26" s="79"/>
      <c r="J26" s="79"/>
      <c r="K26" s="79"/>
      <c r="M26" s="433"/>
      <c r="N26" s="434"/>
      <c r="O26" s="434"/>
      <c r="P26" s="434"/>
      <c r="Q26" s="434"/>
      <c r="R26" s="434"/>
      <c r="S26" s="434"/>
      <c r="T26" s="434"/>
      <c r="U26" s="434"/>
      <c r="V26" s="435"/>
    </row>
    <row r="27" spans="1:22" ht="14.5" customHeight="1" x14ac:dyDescent="0.45">
      <c r="A27" s="75">
        <v>8</v>
      </c>
      <c r="B27" s="78">
        <f t="shared" si="0"/>
        <v>48240000</v>
      </c>
      <c r="C27" s="78">
        <f t="shared" si="1"/>
        <v>17633000</v>
      </c>
      <c r="D27" s="81">
        <f>D25</f>
        <v>1250000000</v>
      </c>
      <c r="E27" s="78">
        <f t="shared" si="3"/>
        <v>1000000000</v>
      </c>
      <c r="F27" s="79"/>
      <c r="G27" s="395"/>
      <c r="H27" s="79"/>
      <c r="I27" s="79"/>
      <c r="J27" s="79"/>
      <c r="K27" s="79"/>
      <c r="M27" s="433"/>
      <c r="N27" s="434"/>
      <c r="O27" s="434"/>
      <c r="P27" s="434"/>
      <c r="Q27" s="434"/>
      <c r="R27" s="434"/>
      <c r="S27" s="434"/>
      <c r="T27" s="434"/>
      <c r="U27" s="434"/>
      <c r="V27" s="435"/>
    </row>
    <row r="28" spans="1:22" ht="14.5" customHeight="1" x14ac:dyDescent="0.45">
      <c r="A28" s="75">
        <v>9</v>
      </c>
      <c r="B28" s="78">
        <f t="shared" si="0"/>
        <v>48240000</v>
      </c>
      <c r="C28" s="78">
        <f t="shared" si="1"/>
        <v>17633000</v>
      </c>
      <c r="D28" s="81">
        <f>D25</f>
        <v>1250000000</v>
      </c>
      <c r="E28" s="78">
        <f t="shared" si="3"/>
        <v>1000000000</v>
      </c>
      <c r="F28" s="79"/>
      <c r="G28" s="395"/>
      <c r="H28" s="79"/>
      <c r="I28" s="79"/>
      <c r="J28" s="79"/>
      <c r="K28" s="79"/>
      <c r="L28" s="28"/>
      <c r="M28" s="433"/>
      <c r="N28" s="434"/>
      <c r="O28" s="434"/>
      <c r="P28" s="434"/>
      <c r="Q28" s="434"/>
      <c r="R28" s="434"/>
      <c r="S28" s="434"/>
      <c r="T28" s="434"/>
      <c r="U28" s="434"/>
      <c r="V28" s="435"/>
    </row>
    <row r="29" spans="1:22" ht="14.5" customHeight="1" x14ac:dyDescent="0.45">
      <c r="A29" s="75">
        <v>10</v>
      </c>
      <c r="B29" s="78">
        <f t="shared" si="0"/>
        <v>48240000</v>
      </c>
      <c r="C29" s="78">
        <f t="shared" si="1"/>
        <v>17633000</v>
      </c>
      <c r="D29" s="81">
        <f>D25</f>
        <v>1250000000</v>
      </c>
      <c r="E29" s="78">
        <f t="shared" si="3"/>
        <v>1000000000</v>
      </c>
      <c r="F29" s="79"/>
      <c r="G29" s="395"/>
      <c r="H29" s="79"/>
      <c r="I29" s="79"/>
      <c r="J29" s="79"/>
      <c r="K29" s="79"/>
      <c r="L29" s="28"/>
      <c r="M29" s="433"/>
      <c r="N29" s="434"/>
      <c r="O29" s="434"/>
      <c r="P29" s="434"/>
      <c r="Q29" s="434"/>
      <c r="R29" s="434"/>
      <c r="S29" s="434"/>
      <c r="T29" s="434"/>
      <c r="U29" s="434"/>
      <c r="V29" s="435"/>
    </row>
    <row r="30" spans="1:22" ht="14.5" customHeight="1" x14ac:dyDescent="0.45">
      <c r="A30" s="75">
        <v>11</v>
      </c>
      <c r="B30" s="80"/>
      <c r="C30" s="80"/>
      <c r="D30" s="81">
        <f>D28</f>
        <v>1250000000</v>
      </c>
      <c r="E30" s="78">
        <f t="shared" si="3"/>
        <v>1000000000</v>
      </c>
      <c r="F30" s="79"/>
      <c r="G30" s="395"/>
      <c r="H30" s="79"/>
      <c r="I30" s="79"/>
      <c r="J30" s="79"/>
      <c r="K30" s="79"/>
      <c r="L30" s="28"/>
      <c r="M30" s="433"/>
      <c r="N30" s="434"/>
      <c r="O30" s="434"/>
      <c r="P30" s="434"/>
      <c r="Q30" s="434"/>
      <c r="R30" s="434"/>
      <c r="S30" s="434"/>
      <c r="T30" s="434"/>
      <c r="U30" s="434"/>
      <c r="V30" s="435"/>
    </row>
    <row r="31" spans="1:22" ht="14.5" customHeight="1" x14ac:dyDescent="0.45">
      <c r="A31" s="75" t="s">
        <v>160</v>
      </c>
      <c r="B31" s="80"/>
      <c r="C31" s="80"/>
      <c r="D31" s="81" t="s">
        <v>160</v>
      </c>
      <c r="E31" s="78">
        <f t="shared" si="3"/>
        <v>1000000000</v>
      </c>
      <c r="F31" s="78"/>
      <c r="G31" s="395"/>
      <c r="H31" s="66"/>
      <c r="I31" s="78"/>
      <c r="J31" s="79"/>
      <c r="K31" s="79"/>
      <c r="L31" s="28"/>
      <c r="M31" s="433"/>
      <c r="N31" s="434"/>
      <c r="O31" s="434"/>
      <c r="P31" s="434"/>
      <c r="Q31" s="434"/>
      <c r="R31" s="434"/>
      <c r="S31" s="434"/>
      <c r="T31" s="434"/>
      <c r="U31" s="434"/>
      <c r="V31" s="435"/>
    </row>
    <row r="32" spans="1:22" ht="14.5" customHeight="1" x14ac:dyDescent="0.45">
      <c r="A32" s="75" t="s">
        <v>160</v>
      </c>
      <c r="B32" s="80"/>
      <c r="C32" s="80"/>
      <c r="D32" s="81" t="s">
        <v>160</v>
      </c>
      <c r="E32" s="78">
        <f t="shared" si="3"/>
        <v>1000000000</v>
      </c>
      <c r="F32" s="79"/>
      <c r="G32" s="395"/>
      <c r="H32" s="79"/>
      <c r="I32" s="79"/>
      <c r="J32" s="79"/>
      <c r="K32" s="79"/>
      <c r="L32" s="28"/>
      <c r="M32" s="433"/>
      <c r="N32" s="434"/>
      <c r="O32" s="434"/>
      <c r="P32" s="434"/>
      <c r="Q32" s="434"/>
      <c r="R32" s="434"/>
      <c r="S32" s="434"/>
      <c r="T32" s="434"/>
      <c r="U32" s="434"/>
      <c r="V32" s="435"/>
    </row>
    <row r="33" spans="1:22" ht="14.5" customHeight="1" x14ac:dyDescent="0.45">
      <c r="A33" s="75">
        <v>16</v>
      </c>
      <c r="B33" s="80"/>
      <c r="C33" s="80"/>
      <c r="D33" s="81">
        <f>150%*B9</f>
        <v>1500000000</v>
      </c>
      <c r="E33" s="78">
        <f t="shared" si="3"/>
        <v>1000000000</v>
      </c>
      <c r="F33" s="79"/>
      <c r="G33" s="395"/>
      <c r="H33" s="79"/>
      <c r="I33" s="79"/>
      <c r="J33" s="79"/>
      <c r="K33" s="79"/>
      <c r="L33" s="28"/>
      <c r="M33" s="433"/>
      <c r="N33" s="434"/>
      <c r="O33" s="434"/>
      <c r="P33" s="434"/>
      <c r="Q33" s="434"/>
      <c r="R33" s="434"/>
      <c r="S33" s="434"/>
      <c r="T33" s="434"/>
      <c r="U33" s="434"/>
      <c r="V33" s="435"/>
    </row>
    <row r="34" spans="1:22" ht="14.5" customHeight="1" x14ac:dyDescent="0.45">
      <c r="A34" s="75" t="s">
        <v>160</v>
      </c>
      <c r="B34" s="80"/>
      <c r="C34" s="80"/>
      <c r="D34" s="80" t="s">
        <v>160</v>
      </c>
      <c r="E34" s="80" t="s">
        <v>160</v>
      </c>
      <c r="F34" s="79"/>
      <c r="G34" s="395"/>
      <c r="H34" s="79"/>
      <c r="I34" s="79"/>
      <c r="J34" s="79"/>
      <c r="K34" s="79"/>
      <c r="L34" s="28"/>
      <c r="M34" s="433"/>
      <c r="N34" s="434"/>
      <c r="O34" s="434"/>
      <c r="P34" s="434"/>
      <c r="Q34" s="434"/>
      <c r="R34" s="434"/>
      <c r="S34" s="434"/>
      <c r="T34" s="434"/>
      <c r="U34" s="434"/>
      <c r="V34" s="435"/>
    </row>
    <row r="35" spans="1:22" ht="14.5" customHeight="1" x14ac:dyDescent="0.45">
      <c r="A35" s="75" t="s">
        <v>160</v>
      </c>
      <c r="B35" s="79"/>
      <c r="C35" s="79"/>
      <c r="D35" s="80" t="s">
        <v>160</v>
      </c>
      <c r="E35" s="80" t="s">
        <v>160</v>
      </c>
      <c r="F35" s="79"/>
      <c r="G35" s="395"/>
      <c r="H35" s="79"/>
      <c r="I35" s="79"/>
      <c r="J35" s="79"/>
      <c r="K35" s="79"/>
      <c r="L35" s="28"/>
      <c r="M35" s="433"/>
      <c r="N35" s="434"/>
      <c r="O35" s="434"/>
      <c r="P35" s="434"/>
      <c r="Q35" s="434"/>
      <c r="R35" s="434"/>
      <c r="S35" s="434"/>
      <c r="T35" s="434"/>
      <c r="U35" s="434"/>
      <c r="V35" s="435"/>
    </row>
    <row r="36" spans="1:22" ht="14.5" customHeight="1" x14ac:dyDescent="0.45">
      <c r="A36" s="75">
        <v>21</v>
      </c>
      <c r="B36" s="79"/>
      <c r="C36" s="79"/>
      <c r="D36" s="78">
        <f>160%*B9</f>
        <v>1600000000</v>
      </c>
      <c r="E36" s="81">
        <f>E9</f>
        <v>1000000000</v>
      </c>
      <c r="F36" s="83">
        <f>D36+B9</f>
        <v>2600000000</v>
      </c>
      <c r="G36" s="395"/>
      <c r="H36" s="83">
        <f>50%*B14</f>
        <v>241200000</v>
      </c>
      <c r="I36" s="79"/>
      <c r="J36" s="79"/>
      <c r="K36" s="79"/>
      <c r="M36" s="433"/>
      <c r="N36" s="434"/>
      <c r="O36" s="434"/>
      <c r="P36" s="434"/>
      <c r="Q36" s="434"/>
      <c r="R36" s="434"/>
      <c r="S36" s="434"/>
      <c r="T36" s="434"/>
      <c r="U36" s="434"/>
      <c r="V36" s="435"/>
    </row>
    <row r="37" spans="1:22" ht="14.5" customHeight="1" x14ac:dyDescent="0.45">
      <c r="A37" s="75" t="s">
        <v>160</v>
      </c>
      <c r="B37" s="79"/>
      <c r="C37" s="79"/>
      <c r="D37" s="81" t="s">
        <v>160</v>
      </c>
      <c r="E37" s="80" t="s">
        <v>160</v>
      </c>
      <c r="F37" s="79"/>
      <c r="G37" s="395"/>
      <c r="H37" s="79"/>
      <c r="I37" s="79"/>
      <c r="J37" s="79"/>
      <c r="K37" s="79"/>
      <c r="L37" s="53"/>
      <c r="M37" s="433"/>
      <c r="N37" s="434"/>
      <c r="O37" s="434"/>
      <c r="P37" s="434"/>
      <c r="Q37" s="434"/>
      <c r="R37" s="434"/>
      <c r="S37" s="434"/>
      <c r="T37" s="434"/>
      <c r="U37" s="434"/>
      <c r="V37" s="435"/>
    </row>
    <row r="38" spans="1:22" ht="14.5" customHeight="1" x14ac:dyDescent="0.45">
      <c r="A38" s="75" t="s">
        <v>160</v>
      </c>
      <c r="B38" s="79"/>
      <c r="C38" s="79"/>
      <c r="D38" s="80" t="s">
        <v>160</v>
      </c>
      <c r="E38" s="80" t="s">
        <v>160</v>
      </c>
      <c r="F38" s="79"/>
      <c r="G38" s="395"/>
      <c r="H38" s="79"/>
      <c r="I38" s="79"/>
      <c r="J38" s="79"/>
      <c r="K38" s="79"/>
      <c r="M38" s="433"/>
      <c r="N38" s="434"/>
      <c r="O38" s="434"/>
      <c r="P38" s="434"/>
      <c r="Q38" s="434"/>
      <c r="R38" s="434"/>
      <c r="S38" s="434"/>
      <c r="T38" s="434"/>
      <c r="U38" s="434"/>
      <c r="V38" s="435"/>
    </row>
    <row r="39" spans="1:22" ht="14.5" customHeight="1" x14ac:dyDescent="0.45">
      <c r="A39" s="75">
        <v>26</v>
      </c>
      <c r="B39" s="79"/>
      <c r="C39" s="79"/>
      <c r="D39" s="81">
        <f>170%*B9</f>
        <v>1700000000</v>
      </c>
      <c r="E39" s="81">
        <f>E9</f>
        <v>1000000000</v>
      </c>
      <c r="F39" s="79"/>
      <c r="G39" s="395"/>
      <c r="H39" s="79"/>
      <c r="I39" s="79"/>
      <c r="J39" s="79"/>
      <c r="K39" s="79"/>
      <c r="M39" s="433"/>
      <c r="N39" s="434"/>
      <c r="O39" s="434"/>
      <c r="P39" s="434"/>
      <c r="Q39" s="434"/>
      <c r="R39" s="434"/>
      <c r="S39" s="434"/>
      <c r="T39" s="434"/>
      <c r="U39" s="434"/>
      <c r="V39" s="435"/>
    </row>
    <row r="40" spans="1:22" ht="14.5" customHeight="1" x14ac:dyDescent="0.35">
      <c r="A40" s="77" t="s">
        <v>160</v>
      </c>
      <c r="B40" s="79"/>
      <c r="C40" s="79"/>
      <c r="D40" s="81" t="s">
        <v>160</v>
      </c>
      <c r="E40" s="81" t="s">
        <v>160</v>
      </c>
      <c r="F40" s="79"/>
      <c r="G40" s="395"/>
      <c r="H40" s="79"/>
      <c r="I40" s="79"/>
      <c r="J40" s="79"/>
      <c r="K40" s="79"/>
      <c r="M40" s="433"/>
      <c r="N40" s="434"/>
      <c r="O40" s="434"/>
      <c r="P40" s="434"/>
      <c r="Q40" s="434"/>
      <c r="R40" s="434"/>
      <c r="S40" s="434"/>
      <c r="T40" s="434"/>
      <c r="U40" s="434"/>
      <c r="V40" s="435"/>
    </row>
    <row r="41" spans="1:22" ht="14.5" customHeight="1" x14ac:dyDescent="0.35">
      <c r="A41" s="77" t="s">
        <v>160</v>
      </c>
      <c r="B41" s="79"/>
      <c r="C41" s="79"/>
      <c r="D41" s="81" t="s">
        <v>160</v>
      </c>
      <c r="E41" s="81" t="s">
        <v>160</v>
      </c>
      <c r="F41" s="79"/>
      <c r="G41" s="395"/>
      <c r="H41" s="79"/>
      <c r="I41" s="79"/>
      <c r="J41" s="79"/>
      <c r="K41" s="79"/>
      <c r="M41" s="433"/>
      <c r="N41" s="434"/>
      <c r="O41" s="434"/>
      <c r="P41" s="434"/>
      <c r="Q41" s="434"/>
      <c r="R41" s="434"/>
      <c r="S41" s="434"/>
      <c r="T41" s="434"/>
      <c r="U41" s="434"/>
      <c r="V41" s="435"/>
    </row>
    <row r="42" spans="1:22" ht="14.5" customHeight="1" x14ac:dyDescent="0.35">
      <c r="A42" s="77">
        <v>31</v>
      </c>
      <c r="B42" s="79"/>
      <c r="C42" s="79"/>
      <c r="D42" s="81">
        <f>180%*B9</f>
        <v>1800000000</v>
      </c>
      <c r="E42" s="81">
        <f>E9</f>
        <v>1000000000</v>
      </c>
      <c r="F42" s="79"/>
      <c r="G42" s="395"/>
      <c r="H42" s="79"/>
      <c r="I42" s="79"/>
      <c r="J42" s="79"/>
      <c r="K42" s="79"/>
      <c r="M42" s="433"/>
      <c r="N42" s="434"/>
      <c r="O42" s="434"/>
      <c r="P42" s="434"/>
      <c r="Q42" s="434"/>
      <c r="R42" s="434"/>
      <c r="S42" s="434"/>
      <c r="T42" s="434"/>
      <c r="U42" s="434"/>
      <c r="V42" s="435"/>
    </row>
    <row r="43" spans="1:22" ht="14.5" customHeight="1" x14ac:dyDescent="0.35">
      <c r="A43" s="77" t="s">
        <v>160</v>
      </c>
      <c r="B43" s="79"/>
      <c r="C43" s="79"/>
      <c r="D43" s="80" t="s">
        <v>160</v>
      </c>
      <c r="E43" s="80" t="s">
        <v>160</v>
      </c>
      <c r="F43" s="79"/>
      <c r="G43" s="395"/>
      <c r="H43" s="79"/>
      <c r="I43" s="79"/>
      <c r="J43" s="79"/>
      <c r="K43" s="79"/>
      <c r="M43" s="433"/>
      <c r="N43" s="434"/>
      <c r="O43" s="434"/>
      <c r="P43" s="434"/>
      <c r="Q43" s="434"/>
      <c r="R43" s="434"/>
      <c r="S43" s="434"/>
      <c r="T43" s="434"/>
      <c r="U43" s="434"/>
      <c r="V43" s="435"/>
    </row>
    <row r="44" spans="1:22" ht="14.5" customHeight="1" x14ac:dyDescent="0.45">
      <c r="A44" s="75" t="s">
        <v>160</v>
      </c>
      <c r="B44" s="79"/>
      <c r="C44" s="79"/>
      <c r="D44" s="81" t="s">
        <v>160</v>
      </c>
      <c r="E44" s="80" t="s">
        <v>160</v>
      </c>
      <c r="F44" s="79"/>
      <c r="G44" s="395"/>
      <c r="H44" s="79"/>
      <c r="I44" s="79"/>
      <c r="J44" s="79"/>
      <c r="K44" s="79"/>
      <c r="M44" s="433"/>
      <c r="N44" s="434"/>
      <c r="O44" s="434"/>
      <c r="P44" s="434"/>
      <c r="Q44" s="434"/>
      <c r="R44" s="434"/>
      <c r="S44" s="434"/>
      <c r="T44" s="434"/>
      <c r="U44" s="434"/>
      <c r="V44" s="435"/>
    </row>
    <row r="45" spans="1:22" ht="15" customHeight="1" x14ac:dyDescent="0.45">
      <c r="A45" s="75">
        <v>36</v>
      </c>
      <c r="B45" s="79"/>
      <c r="C45" s="79"/>
      <c r="D45" s="78">
        <f>190%*B9</f>
        <v>1900000000</v>
      </c>
      <c r="E45" s="81">
        <f>E9</f>
        <v>1000000000</v>
      </c>
      <c r="F45" s="79"/>
      <c r="G45" s="395"/>
      <c r="H45" s="66"/>
      <c r="I45" s="78">
        <f>D14</f>
        <v>176330000</v>
      </c>
      <c r="J45" s="79"/>
      <c r="K45" s="79"/>
      <c r="M45" s="433"/>
      <c r="N45" s="434"/>
      <c r="O45" s="434"/>
      <c r="P45" s="434"/>
      <c r="Q45" s="434"/>
      <c r="R45" s="434"/>
      <c r="S45" s="434"/>
      <c r="T45" s="434"/>
      <c r="U45" s="434"/>
      <c r="V45" s="435"/>
    </row>
    <row r="46" spans="1:22" ht="18.5" customHeight="1" x14ac:dyDescent="0.35">
      <c r="A46" s="77"/>
      <c r="B46" s="79"/>
      <c r="C46" s="79"/>
      <c r="D46" s="80" t="s">
        <v>160</v>
      </c>
      <c r="E46" s="80" t="s">
        <v>160</v>
      </c>
      <c r="F46" s="79"/>
      <c r="G46" s="395"/>
      <c r="H46" s="79"/>
      <c r="I46" s="79"/>
      <c r="J46" s="79"/>
      <c r="K46" s="79"/>
      <c r="M46" s="433"/>
      <c r="N46" s="434"/>
      <c r="O46" s="434"/>
      <c r="P46" s="434"/>
      <c r="Q46" s="434"/>
      <c r="R46" s="434"/>
      <c r="S46" s="434"/>
      <c r="T46" s="434"/>
      <c r="U46" s="434"/>
      <c r="V46" s="435"/>
    </row>
    <row r="47" spans="1:22" ht="18.5" customHeight="1" x14ac:dyDescent="0.35">
      <c r="A47" s="77"/>
      <c r="B47" s="79"/>
      <c r="C47" s="79"/>
      <c r="D47" s="81" t="s">
        <v>160</v>
      </c>
      <c r="E47" s="80" t="s">
        <v>160</v>
      </c>
      <c r="F47" s="79"/>
      <c r="G47" s="395"/>
      <c r="H47" s="79"/>
      <c r="I47" s="79"/>
      <c r="J47" s="78"/>
      <c r="K47" s="79"/>
      <c r="M47" s="433"/>
      <c r="N47" s="434"/>
      <c r="O47" s="434"/>
      <c r="P47" s="434"/>
      <c r="Q47" s="434"/>
      <c r="R47" s="434"/>
      <c r="S47" s="434"/>
      <c r="T47" s="434"/>
      <c r="U47" s="434"/>
      <c r="V47" s="435"/>
    </row>
    <row r="48" spans="1:22" ht="18.5" customHeight="1" x14ac:dyDescent="0.35">
      <c r="A48" s="77">
        <v>41</v>
      </c>
      <c r="B48" s="79"/>
      <c r="C48" s="79"/>
      <c r="D48" s="81">
        <f>200%*B9</f>
        <v>2000000000</v>
      </c>
      <c r="E48" s="78">
        <f>E9</f>
        <v>1000000000</v>
      </c>
      <c r="F48" s="79"/>
      <c r="G48" s="395"/>
      <c r="H48" s="79"/>
      <c r="I48" s="79"/>
      <c r="J48" s="79"/>
      <c r="K48" s="78"/>
      <c r="M48" s="433"/>
      <c r="N48" s="434"/>
      <c r="O48" s="434"/>
      <c r="P48" s="434"/>
      <c r="Q48" s="434"/>
      <c r="R48" s="434"/>
      <c r="S48" s="434"/>
      <c r="T48" s="434"/>
      <c r="U48" s="434"/>
      <c r="V48" s="435"/>
    </row>
    <row r="49" spans="1:22" ht="18.5" customHeight="1" x14ac:dyDescent="0.35">
      <c r="A49" s="77" t="s">
        <v>160</v>
      </c>
      <c r="B49" s="79"/>
      <c r="C49" s="79"/>
      <c r="D49" s="79" t="s">
        <v>160</v>
      </c>
      <c r="E49" s="79"/>
      <c r="F49" s="79"/>
      <c r="G49" s="395"/>
      <c r="H49" s="79"/>
      <c r="I49" s="79"/>
      <c r="K49" s="79"/>
      <c r="M49" s="433"/>
      <c r="N49" s="434"/>
      <c r="O49" s="434"/>
      <c r="P49" s="434"/>
      <c r="Q49" s="434"/>
      <c r="R49" s="434"/>
      <c r="S49" s="434"/>
      <c r="T49" s="434"/>
      <c r="U49" s="434"/>
      <c r="V49" s="435"/>
    </row>
    <row r="50" spans="1:22" ht="18.5" customHeight="1" x14ac:dyDescent="0.35">
      <c r="A50" s="77">
        <v>59</v>
      </c>
      <c r="B50" s="79"/>
      <c r="C50" s="79"/>
      <c r="D50" s="78">
        <f>D48</f>
        <v>2000000000</v>
      </c>
      <c r="E50" s="79"/>
      <c r="F50" s="79"/>
      <c r="G50" s="395"/>
      <c r="H50" s="79"/>
      <c r="I50" s="79"/>
      <c r="J50" s="83">
        <f>D48-H36</f>
        <v>1758800000</v>
      </c>
      <c r="K50" s="79"/>
      <c r="M50" s="433"/>
      <c r="N50" s="434"/>
      <c r="O50" s="434"/>
      <c r="P50" s="434"/>
      <c r="Q50" s="434"/>
      <c r="R50" s="434"/>
      <c r="S50" s="434"/>
      <c r="T50" s="434"/>
      <c r="U50" s="434"/>
      <c r="V50" s="435"/>
    </row>
    <row r="51" spans="1:22" ht="18.5" customHeight="1" x14ac:dyDescent="0.35">
      <c r="A51" s="77">
        <v>60</v>
      </c>
      <c r="B51" s="79"/>
      <c r="C51" s="79"/>
      <c r="D51" s="79"/>
      <c r="E51" s="78">
        <f>E48</f>
        <v>1000000000</v>
      </c>
      <c r="F51" s="79"/>
      <c r="G51" s="396"/>
      <c r="H51" s="79"/>
      <c r="I51" s="79"/>
      <c r="J51" s="79"/>
      <c r="K51" s="78">
        <f>E9</f>
        <v>1000000000</v>
      </c>
      <c r="M51" s="433"/>
      <c r="N51" s="434"/>
      <c r="O51" s="434"/>
      <c r="P51" s="434"/>
      <c r="Q51" s="434"/>
      <c r="R51" s="434"/>
      <c r="S51" s="434"/>
      <c r="T51" s="434"/>
      <c r="U51" s="434"/>
      <c r="V51" s="435"/>
    </row>
    <row r="52" spans="1:22" ht="14.5" customHeight="1" x14ac:dyDescent="0.35">
      <c r="M52" s="433"/>
      <c r="N52" s="434"/>
      <c r="O52" s="434"/>
      <c r="P52" s="434"/>
      <c r="Q52" s="434"/>
      <c r="R52" s="434"/>
      <c r="S52" s="434"/>
      <c r="T52" s="434"/>
      <c r="U52" s="434"/>
      <c r="V52" s="435"/>
    </row>
    <row r="53" spans="1:22" ht="15" customHeight="1" x14ac:dyDescent="0.35">
      <c r="M53" s="433"/>
      <c r="N53" s="434"/>
      <c r="O53" s="434"/>
      <c r="P53" s="434"/>
      <c r="Q53" s="434"/>
      <c r="R53" s="434"/>
      <c r="S53" s="434"/>
      <c r="T53" s="434"/>
      <c r="U53" s="434"/>
      <c r="V53" s="435"/>
    </row>
    <row r="54" spans="1:22" ht="14.5" customHeight="1" x14ac:dyDescent="0.35">
      <c r="M54" s="433"/>
      <c r="N54" s="434"/>
      <c r="O54" s="434"/>
      <c r="P54" s="434"/>
      <c r="Q54" s="434"/>
      <c r="R54" s="434"/>
      <c r="S54" s="434"/>
      <c r="T54" s="434"/>
      <c r="U54" s="434"/>
      <c r="V54" s="435"/>
    </row>
    <row r="55" spans="1:22" ht="14.5" customHeight="1" x14ac:dyDescent="0.35">
      <c r="L55" s="28"/>
      <c r="M55" s="433"/>
      <c r="N55" s="434"/>
      <c r="O55" s="434"/>
      <c r="P55" s="434"/>
      <c r="Q55" s="434"/>
      <c r="R55" s="434"/>
      <c r="S55" s="434"/>
      <c r="T55" s="434"/>
      <c r="U55" s="434"/>
      <c r="V55" s="435"/>
    </row>
    <row r="56" spans="1:22" ht="14.5" customHeight="1" x14ac:dyDescent="0.35">
      <c r="L56" s="51"/>
      <c r="M56" s="433"/>
      <c r="N56" s="434"/>
      <c r="O56" s="434"/>
      <c r="P56" s="434"/>
      <c r="Q56" s="434"/>
      <c r="R56" s="434"/>
      <c r="S56" s="434"/>
      <c r="T56" s="434"/>
      <c r="U56" s="434"/>
      <c r="V56" s="435"/>
    </row>
    <row r="57" spans="1:22" ht="14.5" customHeight="1" x14ac:dyDescent="0.35">
      <c r="M57" s="433"/>
      <c r="N57" s="434"/>
      <c r="O57" s="434"/>
      <c r="P57" s="434"/>
      <c r="Q57" s="434"/>
      <c r="R57" s="434"/>
      <c r="S57" s="434"/>
      <c r="T57" s="434"/>
      <c r="U57" s="434"/>
      <c r="V57" s="435"/>
    </row>
    <row r="58" spans="1:22" ht="14.5" customHeight="1" x14ac:dyDescent="0.35">
      <c r="M58" s="433"/>
      <c r="N58" s="434"/>
      <c r="O58" s="434"/>
      <c r="P58" s="434"/>
      <c r="Q58" s="434"/>
      <c r="R58" s="434"/>
      <c r="S58" s="434"/>
      <c r="T58" s="434"/>
      <c r="U58" s="434"/>
      <c r="V58" s="435"/>
    </row>
    <row r="59" spans="1:22" ht="14.5" customHeight="1" x14ac:dyDescent="0.35">
      <c r="M59" s="433"/>
      <c r="N59" s="434"/>
      <c r="O59" s="434"/>
      <c r="P59" s="434"/>
      <c r="Q59" s="434"/>
      <c r="R59" s="434"/>
      <c r="S59" s="434"/>
      <c r="T59" s="434"/>
      <c r="U59" s="434"/>
      <c r="V59" s="435"/>
    </row>
    <row r="60" spans="1:22" ht="14.5" customHeight="1" x14ac:dyDescent="0.35">
      <c r="M60" s="433"/>
      <c r="N60" s="434"/>
      <c r="O60" s="434"/>
      <c r="P60" s="434"/>
      <c r="Q60" s="434"/>
      <c r="R60" s="434"/>
      <c r="S60" s="434"/>
      <c r="T60" s="434"/>
      <c r="U60" s="434"/>
      <c r="V60" s="435"/>
    </row>
    <row r="61" spans="1:22" x14ac:dyDescent="0.35">
      <c r="M61" s="433"/>
      <c r="N61" s="434"/>
      <c r="O61" s="434"/>
      <c r="P61" s="434"/>
      <c r="Q61" s="434"/>
      <c r="R61" s="434"/>
      <c r="S61" s="434"/>
      <c r="T61" s="434"/>
      <c r="U61" s="434"/>
      <c r="V61" s="435"/>
    </row>
    <row r="62" spans="1:22" x14ac:dyDescent="0.35">
      <c r="M62" s="433"/>
      <c r="N62" s="434"/>
      <c r="O62" s="434"/>
      <c r="P62" s="434"/>
      <c r="Q62" s="434"/>
      <c r="R62" s="434"/>
      <c r="S62" s="434"/>
      <c r="T62" s="434"/>
      <c r="U62" s="434"/>
      <c r="V62" s="435"/>
    </row>
    <row r="63" spans="1:22" x14ac:dyDescent="0.35">
      <c r="M63" s="433"/>
      <c r="N63" s="434"/>
      <c r="O63" s="434"/>
      <c r="P63" s="434"/>
      <c r="Q63" s="434"/>
      <c r="R63" s="434"/>
      <c r="S63" s="434"/>
      <c r="T63" s="434"/>
      <c r="U63" s="434"/>
      <c r="V63" s="435"/>
    </row>
    <row r="64" spans="1:22" ht="15" thickBot="1" x14ac:dyDescent="0.4">
      <c r="M64" s="436"/>
      <c r="N64" s="437"/>
      <c r="O64" s="437"/>
      <c r="P64" s="437"/>
      <c r="Q64" s="437"/>
      <c r="R64" s="437"/>
      <c r="S64" s="437"/>
      <c r="T64" s="437"/>
      <c r="U64" s="437"/>
      <c r="V64" s="438"/>
    </row>
  </sheetData>
  <mergeCells count="40">
    <mergeCell ref="M21:V64"/>
    <mergeCell ref="G7:H7"/>
    <mergeCell ref="G3:H3"/>
    <mergeCell ref="G1:J1"/>
    <mergeCell ref="G2:H2"/>
    <mergeCell ref="G4:H5"/>
    <mergeCell ref="I4:I5"/>
    <mergeCell ref="J4:J5"/>
    <mergeCell ref="G20:G51"/>
    <mergeCell ref="G8:H8"/>
    <mergeCell ref="L1:P1"/>
    <mergeCell ref="M2:N2"/>
    <mergeCell ref="O2:P2"/>
    <mergeCell ref="M3:N3"/>
    <mergeCell ref="O3:P3"/>
    <mergeCell ref="M4:N4"/>
    <mergeCell ref="B13:C13"/>
    <mergeCell ref="D13:E13"/>
    <mergeCell ref="B14:C14"/>
    <mergeCell ref="D14:E14"/>
    <mergeCell ref="A17:K17"/>
    <mergeCell ref="G13:H15"/>
    <mergeCell ref="B18:C18"/>
    <mergeCell ref="D18:E18"/>
    <mergeCell ref="F18:G18"/>
    <mergeCell ref="H18:I18"/>
    <mergeCell ref="J18:K18"/>
    <mergeCell ref="A1:E1"/>
    <mergeCell ref="A2:B2"/>
    <mergeCell ref="D2:E2"/>
    <mergeCell ref="A11:E11"/>
    <mergeCell ref="B12:C12"/>
    <mergeCell ref="D12:E12"/>
    <mergeCell ref="M7:N7"/>
    <mergeCell ref="O7:P7"/>
    <mergeCell ref="O4:P4"/>
    <mergeCell ref="M5:N5"/>
    <mergeCell ref="O5:P5"/>
    <mergeCell ref="M6:N6"/>
    <mergeCell ref="O6:P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BA387-CFE5-430F-970C-2E3DF4CA94E1}">
  <dimension ref="A1:AB65"/>
  <sheetViews>
    <sheetView zoomScale="62" zoomScaleNormal="120" workbookViewId="0">
      <selection activeCell="P13" sqref="P13"/>
    </sheetView>
  </sheetViews>
  <sheetFormatPr defaultRowHeight="14.5" x14ac:dyDescent="0.35"/>
  <cols>
    <col min="1" max="1" width="19.81640625" customWidth="1"/>
    <col min="2" max="2" width="23.54296875" bestFit="1" customWidth="1"/>
    <col min="3" max="3" width="23.26953125" bestFit="1" customWidth="1"/>
    <col min="4" max="4" width="24.90625" bestFit="1" customWidth="1"/>
    <col min="5" max="5" width="23.54296875" bestFit="1" customWidth="1"/>
    <col min="6" max="9" width="23.54296875" customWidth="1"/>
    <col min="10" max="10" width="24" bestFit="1" customWidth="1"/>
    <col min="11" max="11" width="22.36328125" customWidth="1"/>
    <col min="12" max="12" width="21.453125" bestFit="1" customWidth="1"/>
    <col min="13" max="13" width="23.26953125" bestFit="1" customWidth="1"/>
    <col min="14" max="14" width="22.453125" bestFit="1" customWidth="1"/>
    <col min="15" max="17" width="22.453125" customWidth="1"/>
    <col min="18" max="18" width="14.90625" customWidth="1"/>
    <col min="19" max="19" width="23.26953125" customWidth="1"/>
    <col min="22" max="22" width="14" customWidth="1"/>
  </cols>
  <sheetData>
    <row r="1" spans="1:25" s="112" customFormat="1" ht="34" customHeight="1" x14ac:dyDescent="0.35">
      <c r="A1" s="494" t="s">
        <v>170</v>
      </c>
      <c r="B1" s="495"/>
      <c r="C1" s="495"/>
      <c r="D1" s="495"/>
      <c r="E1" s="496"/>
      <c r="F1" s="138"/>
      <c r="G1" s="471" t="s">
        <v>190</v>
      </c>
      <c r="H1" s="472"/>
      <c r="I1" s="472"/>
      <c r="J1" s="473"/>
      <c r="K1" s="171"/>
      <c r="L1" s="471" t="s">
        <v>198</v>
      </c>
      <c r="M1" s="472"/>
      <c r="N1" s="472"/>
      <c r="O1" s="472"/>
      <c r="P1" s="473"/>
      <c r="Q1" s="138"/>
      <c r="R1" s="171"/>
      <c r="S1" s="430" t="s">
        <v>347</v>
      </c>
      <c r="T1" s="463"/>
      <c r="U1" s="463"/>
      <c r="V1" s="463"/>
      <c r="W1" s="463"/>
      <c r="X1" s="463"/>
      <c r="Y1" s="464"/>
    </row>
    <row r="2" spans="1:25" ht="18.5" x14ac:dyDescent="0.45">
      <c r="A2" s="497" t="s">
        <v>114</v>
      </c>
      <c r="B2" s="418"/>
      <c r="C2" s="65"/>
      <c r="D2" s="419" t="s">
        <v>272</v>
      </c>
      <c r="E2" s="459"/>
      <c r="F2" s="139"/>
      <c r="G2" s="474" t="s">
        <v>33</v>
      </c>
      <c r="H2" s="408"/>
      <c r="I2" s="99" t="s">
        <v>114</v>
      </c>
      <c r="J2" s="172" t="s">
        <v>272</v>
      </c>
      <c r="K2" s="152"/>
      <c r="L2" s="183"/>
      <c r="M2" s="381" t="s">
        <v>114</v>
      </c>
      <c r="N2" s="381"/>
      <c r="O2" s="419" t="s">
        <v>272</v>
      </c>
      <c r="P2" s="498"/>
      <c r="Q2" s="168"/>
      <c r="R2" s="65"/>
      <c r="S2" s="465"/>
      <c r="T2" s="466"/>
      <c r="U2" s="466"/>
      <c r="V2" s="466"/>
      <c r="W2" s="466"/>
      <c r="X2" s="466"/>
      <c r="Y2" s="467"/>
    </row>
    <row r="3" spans="1:25" ht="23.5" x14ac:dyDescent="0.45">
      <c r="A3" s="187" t="s">
        <v>110</v>
      </c>
      <c r="B3" s="76" t="s">
        <v>21</v>
      </c>
      <c r="C3" s="65"/>
      <c r="D3" s="86" t="s">
        <v>110</v>
      </c>
      <c r="E3" s="188" t="s">
        <v>21</v>
      </c>
      <c r="F3" s="140"/>
      <c r="G3" s="475" t="s">
        <v>191</v>
      </c>
      <c r="H3" s="369"/>
      <c r="I3" s="71" t="s">
        <v>193</v>
      </c>
      <c r="J3" s="173" t="s">
        <v>193</v>
      </c>
      <c r="K3" s="66"/>
      <c r="L3" s="184" t="s">
        <v>111</v>
      </c>
      <c r="M3" s="488" t="s">
        <v>201</v>
      </c>
      <c r="N3" s="488"/>
      <c r="O3" s="489" t="s">
        <v>338</v>
      </c>
      <c r="P3" s="490"/>
      <c r="Q3" s="162"/>
      <c r="R3" s="182"/>
      <c r="S3" s="465"/>
      <c r="T3" s="466"/>
      <c r="U3" s="466"/>
      <c r="V3" s="466"/>
      <c r="W3" s="466"/>
      <c r="X3" s="466"/>
      <c r="Y3" s="467"/>
    </row>
    <row r="4" spans="1:25" ht="26" x14ac:dyDescent="0.45">
      <c r="A4" s="187" t="s">
        <v>111</v>
      </c>
      <c r="B4" s="76" t="s">
        <v>274</v>
      </c>
      <c r="C4" s="65"/>
      <c r="D4" s="86" t="s">
        <v>111</v>
      </c>
      <c r="E4" s="189" t="s">
        <v>274</v>
      </c>
      <c r="F4" s="141"/>
      <c r="G4" s="476" t="s">
        <v>192</v>
      </c>
      <c r="H4" s="409"/>
      <c r="I4" s="410" t="s">
        <v>193</v>
      </c>
      <c r="J4" s="477" t="s">
        <v>194</v>
      </c>
      <c r="K4" s="153"/>
      <c r="L4" s="183" t="s">
        <v>200</v>
      </c>
      <c r="M4" s="414" t="s">
        <v>342</v>
      </c>
      <c r="N4" s="415"/>
      <c r="O4" s="491" t="s">
        <v>341</v>
      </c>
      <c r="P4" s="492"/>
      <c r="Q4" s="170"/>
      <c r="R4" s="65"/>
      <c r="S4" s="465"/>
      <c r="T4" s="466"/>
      <c r="U4" s="466"/>
      <c r="V4" s="466"/>
      <c r="W4" s="466"/>
      <c r="X4" s="466"/>
      <c r="Y4" s="467"/>
    </row>
    <row r="5" spans="1:25" ht="40.5" customHeight="1" x14ac:dyDescent="0.45">
      <c r="A5" s="190" t="s">
        <v>7</v>
      </c>
      <c r="B5" s="76" t="s">
        <v>118</v>
      </c>
      <c r="C5" s="65"/>
      <c r="D5" s="86" t="s">
        <v>7</v>
      </c>
      <c r="E5" s="191" t="s">
        <v>116</v>
      </c>
      <c r="F5" s="142"/>
      <c r="G5" s="476"/>
      <c r="H5" s="409"/>
      <c r="I5" s="410"/>
      <c r="J5" s="477"/>
      <c r="K5" s="153"/>
      <c r="L5" s="183" t="s">
        <v>199</v>
      </c>
      <c r="M5" s="414" t="s">
        <v>340</v>
      </c>
      <c r="N5" s="415"/>
      <c r="O5" s="493" t="s">
        <v>339</v>
      </c>
      <c r="P5" s="446"/>
      <c r="Q5" s="170"/>
      <c r="R5" s="65"/>
      <c r="S5" s="465"/>
      <c r="T5" s="466"/>
      <c r="U5" s="466"/>
      <c r="V5" s="466"/>
      <c r="W5" s="466"/>
      <c r="X5" s="466"/>
      <c r="Y5" s="467"/>
    </row>
    <row r="6" spans="1:25" ht="19" customHeight="1" x14ac:dyDescent="0.45">
      <c r="A6" s="190" t="s">
        <v>112</v>
      </c>
      <c r="B6" s="76" t="s">
        <v>113</v>
      </c>
      <c r="C6" s="65"/>
      <c r="D6" s="90" t="s">
        <v>112</v>
      </c>
      <c r="E6" s="188" t="s">
        <v>113</v>
      </c>
      <c r="F6" s="140"/>
      <c r="G6" s="175" t="s">
        <v>195</v>
      </c>
      <c r="H6" s="69"/>
      <c r="I6" s="71" t="s">
        <v>193</v>
      </c>
      <c r="J6" s="174" t="s">
        <v>194</v>
      </c>
      <c r="K6" s="169"/>
      <c r="L6" s="185" t="s">
        <v>110</v>
      </c>
      <c r="M6" s="414" t="s">
        <v>21</v>
      </c>
      <c r="N6" s="415"/>
      <c r="O6" s="414" t="s">
        <v>21</v>
      </c>
      <c r="P6" s="446"/>
      <c r="Q6" s="170"/>
      <c r="R6" s="67"/>
      <c r="S6" s="465"/>
      <c r="T6" s="466"/>
      <c r="U6" s="466"/>
      <c r="V6" s="466"/>
      <c r="W6" s="466"/>
      <c r="X6" s="466"/>
      <c r="Y6" s="467"/>
    </row>
    <row r="7" spans="1:25" ht="20" customHeight="1" thickBot="1" x14ac:dyDescent="0.5">
      <c r="A7" s="190" t="s">
        <v>121</v>
      </c>
      <c r="B7" s="76" t="s">
        <v>176</v>
      </c>
      <c r="C7" s="65"/>
      <c r="D7" s="90" t="s">
        <v>10</v>
      </c>
      <c r="E7" s="188" t="s">
        <v>176</v>
      </c>
      <c r="F7" s="140"/>
      <c r="G7" s="475" t="s">
        <v>27</v>
      </c>
      <c r="H7" s="369"/>
      <c r="I7" s="71" t="s">
        <v>193</v>
      </c>
      <c r="J7" s="173" t="s">
        <v>193</v>
      </c>
      <c r="K7" s="66"/>
      <c r="L7" s="186" t="s">
        <v>91</v>
      </c>
      <c r="M7" s="447" t="s">
        <v>92</v>
      </c>
      <c r="N7" s="447"/>
      <c r="O7" s="448" t="s">
        <v>249</v>
      </c>
      <c r="P7" s="449"/>
      <c r="Q7" s="163"/>
      <c r="R7" s="67"/>
      <c r="S7" s="465"/>
      <c r="T7" s="466"/>
      <c r="U7" s="466"/>
      <c r="V7" s="466"/>
      <c r="W7" s="466"/>
      <c r="X7" s="466"/>
      <c r="Y7" s="467"/>
    </row>
    <row r="8" spans="1:25" ht="23.5" x14ac:dyDescent="0.45">
      <c r="A8" s="183" t="s">
        <v>12</v>
      </c>
      <c r="B8" s="76" t="s">
        <v>152</v>
      </c>
      <c r="C8" s="65"/>
      <c r="D8" s="90" t="s">
        <v>12</v>
      </c>
      <c r="E8" s="188" t="s">
        <v>273</v>
      </c>
      <c r="F8" s="140"/>
      <c r="G8" s="478" t="s">
        <v>28</v>
      </c>
      <c r="H8" s="439"/>
      <c r="I8" s="71" t="s">
        <v>193</v>
      </c>
      <c r="J8" s="176" t="s">
        <v>203</v>
      </c>
      <c r="K8" s="66"/>
      <c r="L8" s="66"/>
      <c r="M8" s="162"/>
      <c r="N8" s="163"/>
      <c r="O8" s="163"/>
      <c r="P8" s="163"/>
      <c r="R8" s="52"/>
      <c r="S8" s="465"/>
      <c r="T8" s="466"/>
      <c r="U8" s="466"/>
      <c r="V8" s="466"/>
      <c r="W8" s="466"/>
      <c r="X8" s="466"/>
      <c r="Y8" s="467"/>
    </row>
    <row r="9" spans="1:25" ht="24" thickBot="1" x14ac:dyDescent="0.5">
      <c r="A9" s="192" t="s">
        <v>117</v>
      </c>
      <c r="B9" s="193" t="s">
        <v>276</v>
      </c>
      <c r="C9" s="194"/>
      <c r="D9" s="195" t="s">
        <v>117</v>
      </c>
      <c r="E9" s="196" t="s">
        <v>276</v>
      </c>
      <c r="F9" s="156"/>
      <c r="G9" s="175" t="s">
        <v>29</v>
      </c>
      <c r="H9" s="69"/>
      <c r="I9" s="71" t="s">
        <v>193</v>
      </c>
      <c r="J9" s="173" t="s">
        <v>193</v>
      </c>
      <c r="K9" s="169"/>
      <c r="L9" s="169"/>
      <c r="M9" s="162"/>
      <c r="N9" s="162"/>
      <c r="O9" s="162"/>
      <c r="P9" s="162"/>
      <c r="Q9" s="162"/>
      <c r="S9" s="465"/>
      <c r="T9" s="466"/>
      <c r="U9" s="466"/>
      <c r="V9" s="466"/>
      <c r="W9" s="466"/>
      <c r="X9" s="466"/>
      <c r="Y9" s="467"/>
    </row>
    <row r="10" spans="1:25" ht="26.5" thickBot="1" x14ac:dyDescent="0.5">
      <c r="A10" s="65"/>
      <c r="B10" s="65"/>
      <c r="C10" s="65"/>
      <c r="D10" s="65"/>
      <c r="E10" s="65"/>
      <c r="F10" s="65"/>
      <c r="G10" s="175" t="s">
        <v>212</v>
      </c>
      <c r="H10" s="69"/>
      <c r="I10" s="72" t="s">
        <v>194</v>
      </c>
      <c r="J10" s="177" t="s">
        <v>193</v>
      </c>
      <c r="K10" s="169"/>
      <c r="L10" s="169"/>
      <c r="M10" s="170"/>
      <c r="N10" s="164"/>
      <c r="O10" s="164"/>
      <c r="P10" s="164"/>
      <c r="Q10" s="164"/>
      <c r="S10" s="465"/>
      <c r="T10" s="466"/>
      <c r="U10" s="466"/>
      <c r="V10" s="466"/>
      <c r="W10" s="466"/>
      <c r="X10" s="466"/>
      <c r="Y10" s="467"/>
    </row>
    <row r="11" spans="1:25" ht="24" thickBot="1" x14ac:dyDescent="0.5">
      <c r="A11" s="456" t="s">
        <v>119</v>
      </c>
      <c r="B11" s="457"/>
      <c r="C11" s="457"/>
      <c r="D11" s="457"/>
      <c r="E11" s="458"/>
      <c r="F11" s="145"/>
      <c r="G11" s="178" t="s">
        <v>215</v>
      </c>
      <c r="H11" s="179"/>
      <c r="I11" s="180" t="s">
        <v>193</v>
      </c>
      <c r="J11" s="181" t="s">
        <v>193</v>
      </c>
      <c r="K11" s="66"/>
      <c r="L11" s="66"/>
      <c r="M11" s="162"/>
      <c r="N11" s="162"/>
      <c r="O11" s="162"/>
      <c r="P11" s="162"/>
      <c r="Q11" s="162"/>
      <c r="S11" s="465"/>
      <c r="T11" s="466"/>
      <c r="U11" s="466"/>
      <c r="V11" s="466"/>
      <c r="W11" s="466"/>
      <c r="X11" s="466"/>
      <c r="Y11" s="467"/>
    </row>
    <row r="12" spans="1:25" ht="18.5" x14ac:dyDescent="0.45">
      <c r="A12" s="198"/>
      <c r="B12" s="381" t="s">
        <v>114</v>
      </c>
      <c r="C12" s="381"/>
      <c r="D12" s="419" t="s">
        <v>272</v>
      </c>
      <c r="E12" s="459"/>
      <c r="F12" s="200"/>
      <c r="G12" s="66"/>
      <c r="H12" s="66"/>
      <c r="I12" s="65"/>
      <c r="J12" s="65"/>
      <c r="K12" s="66"/>
      <c r="L12" s="66"/>
      <c r="M12" s="65"/>
      <c r="N12" s="65"/>
      <c r="O12" s="65"/>
      <c r="P12" s="65"/>
      <c r="Q12" s="65"/>
      <c r="S12" s="465"/>
      <c r="T12" s="466"/>
      <c r="U12" s="466"/>
      <c r="V12" s="466"/>
      <c r="W12" s="466"/>
      <c r="X12" s="466"/>
      <c r="Y12" s="467"/>
    </row>
    <row r="13" spans="1:25" ht="24" thickBot="1" x14ac:dyDescent="0.5">
      <c r="A13" s="192" t="s">
        <v>278</v>
      </c>
      <c r="B13" s="460" t="s">
        <v>277</v>
      </c>
      <c r="C13" s="460"/>
      <c r="D13" s="461" t="s">
        <v>275</v>
      </c>
      <c r="E13" s="462"/>
      <c r="F13" s="144"/>
      <c r="G13" s="201"/>
      <c r="H13" s="66"/>
      <c r="I13" s="162"/>
      <c r="J13" s="162"/>
      <c r="K13" s="66"/>
      <c r="L13" s="66"/>
      <c r="M13" s="162"/>
      <c r="N13" s="162"/>
      <c r="O13" s="162"/>
      <c r="P13" s="162"/>
      <c r="Q13" s="162"/>
      <c r="S13" s="465"/>
      <c r="T13" s="466"/>
      <c r="U13" s="466"/>
      <c r="V13" s="466"/>
      <c r="W13" s="466"/>
      <c r="X13" s="466"/>
      <c r="Y13" s="467"/>
    </row>
    <row r="14" spans="1:25" ht="18.5" hidden="1" customHeight="1" x14ac:dyDescent="0.5">
      <c r="A14" s="197" t="s">
        <v>120</v>
      </c>
      <c r="B14" s="452"/>
      <c r="C14" s="453"/>
      <c r="D14" s="454"/>
      <c r="E14" s="455"/>
      <c r="F14" s="157"/>
      <c r="G14" s="155"/>
      <c r="H14" s="155"/>
      <c r="I14" s="155"/>
      <c r="J14" s="91"/>
      <c r="K14" s="166"/>
      <c r="L14" s="167"/>
      <c r="M14" s="65"/>
      <c r="N14" s="65"/>
      <c r="O14" s="65"/>
      <c r="P14" s="65"/>
      <c r="Q14" s="65"/>
      <c r="S14" s="465"/>
      <c r="T14" s="466"/>
      <c r="U14" s="466"/>
      <c r="V14" s="466"/>
      <c r="W14" s="466"/>
      <c r="X14" s="466"/>
      <c r="Y14" s="467"/>
    </row>
    <row r="15" spans="1:25" ht="18.5" x14ac:dyDescent="0.45">
      <c r="A15" s="65"/>
      <c r="B15" s="65"/>
      <c r="C15" s="65"/>
      <c r="D15" s="65"/>
      <c r="E15" s="65"/>
      <c r="F15" s="65"/>
      <c r="G15" s="65"/>
      <c r="H15" s="65"/>
      <c r="I15" s="65"/>
      <c r="J15" s="65"/>
      <c r="M15" s="65"/>
      <c r="N15" s="65"/>
      <c r="O15" s="65"/>
      <c r="P15" s="65"/>
      <c r="Q15" s="65"/>
      <c r="S15" s="465"/>
      <c r="T15" s="466"/>
      <c r="U15" s="466"/>
      <c r="V15" s="466"/>
      <c r="W15" s="466"/>
      <c r="X15" s="466"/>
      <c r="Y15" s="467"/>
    </row>
    <row r="16" spans="1:25" ht="19" thickBot="1" x14ac:dyDescent="0.5">
      <c r="A16" s="65"/>
      <c r="B16" s="65"/>
      <c r="C16" s="65"/>
      <c r="D16" s="65"/>
      <c r="E16" s="65"/>
      <c r="F16" s="65"/>
      <c r="G16" s="65"/>
      <c r="H16" s="65"/>
      <c r="I16" s="65"/>
      <c r="J16" s="65"/>
      <c r="K16" s="65"/>
      <c r="L16" s="65"/>
      <c r="M16" s="65"/>
      <c r="N16" s="65"/>
      <c r="O16" s="65"/>
      <c r="P16" s="65"/>
      <c r="Q16" s="65"/>
      <c r="S16" s="465"/>
      <c r="T16" s="466"/>
      <c r="U16" s="466"/>
      <c r="V16" s="466"/>
      <c r="W16" s="466"/>
      <c r="X16" s="466"/>
      <c r="Y16" s="467"/>
    </row>
    <row r="17" spans="1:28" s="112" customFormat="1" ht="39.5" customHeight="1" thickBot="1" x14ac:dyDescent="0.4">
      <c r="A17" s="499" t="s">
        <v>153</v>
      </c>
      <c r="B17" s="500"/>
      <c r="C17" s="500"/>
      <c r="D17" s="500"/>
      <c r="E17" s="500"/>
      <c r="F17" s="500"/>
      <c r="G17" s="500"/>
      <c r="H17" s="500"/>
      <c r="I17" s="500"/>
      <c r="J17" s="500"/>
      <c r="K17" s="500"/>
      <c r="L17" s="500"/>
      <c r="M17" s="500"/>
      <c r="N17" s="500"/>
      <c r="O17" s="500"/>
      <c r="P17" s="500"/>
      <c r="Q17" s="501"/>
      <c r="S17" s="465"/>
      <c r="T17" s="466"/>
      <c r="U17" s="466"/>
      <c r="V17" s="466"/>
      <c r="W17" s="466"/>
      <c r="X17" s="466"/>
      <c r="Y17" s="467"/>
    </row>
    <row r="18" spans="1:28" ht="54" customHeight="1" x14ac:dyDescent="0.35">
      <c r="A18" s="205" t="s">
        <v>155</v>
      </c>
      <c r="B18" s="502" t="s">
        <v>279</v>
      </c>
      <c r="C18" s="503"/>
      <c r="D18" s="485" t="s">
        <v>285</v>
      </c>
      <c r="E18" s="487"/>
      <c r="F18" s="485" t="s">
        <v>191</v>
      </c>
      <c r="G18" s="486"/>
      <c r="H18" s="486"/>
      <c r="I18" s="487"/>
      <c r="J18" s="504" t="s">
        <v>25</v>
      </c>
      <c r="K18" s="504"/>
      <c r="L18" s="505" t="s">
        <v>156</v>
      </c>
      <c r="M18" s="505"/>
      <c r="N18" s="505" t="s">
        <v>157</v>
      </c>
      <c r="O18" s="505"/>
      <c r="P18" s="505"/>
      <c r="Q18" s="505"/>
      <c r="S18" s="465"/>
      <c r="T18" s="466"/>
      <c r="U18" s="466"/>
      <c r="V18" s="466"/>
      <c r="W18" s="466"/>
      <c r="X18" s="466"/>
      <c r="Y18" s="467"/>
    </row>
    <row r="19" spans="1:28" ht="34.5" customHeight="1" x14ac:dyDescent="0.45">
      <c r="A19" s="90"/>
      <c r="B19" s="479" t="s">
        <v>159</v>
      </c>
      <c r="C19" s="450" t="s">
        <v>272</v>
      </c>
      <c r="D19" s="479" t="s">
        <v>159</v>
      </c>
      <c r="E19" s="450" t="s">
        <v>272</v>
      </c>
      <c r="F19" s="479" t="s">
        <v>159</v>
      </c>
      <c r="G19" s="482" t="s">
        <v>272</v>
      </c>
      <c r="H19" s="483"/>
      <c r="I19" s="484"/>
      <c r="J19" s="479" t="s">
        <v>159</v>
      </c>
      <c r="K19" s="450" t="s">
        <v>272</v>
      </c>
      <c r="L19" s="479" t="s">
        <v>159</v>
      </c>
      <c r="M19" s="450" t="s">
        <v>272</v>
      </c>
      <c r="N19" s="479" t="s">
        <v>159</v>
      </c>
      <c r="O19" s="481" t="s">
        <v>272</v>
      </c>
      <c r="P19" s="481"/>
      <c r="Q19" s="481"/>
      <c r="S19" s="465"/>
      <c r="T19" s="466"/>
      <c r="U19" s="466"/>
      <c r="V19" s="466"/>
      <c r="W19" s="466"/>
      <c r="X19" s="466"/>
      <c r="Y19" s="467"/>
    </row>
    <row r="20" spans="1:28" ht="34.5" customHeight="1" x14ac:dyDescent="0.45">
      <c r="A20" s="90"/>
      <c r="B20" s="480"/>
      <c r="C20" s="451"/>
      <c r="D20" s="480"/>
      <c r="E20" s="451"/>
      <c r="F20" s="480"/>
      <c r="G20" s="95" t="s">
        <v>293</v>
      </c>
      <c r="H20" s="95" t="s">
        <v>295</v>
      </c>
      <c r="I20" s="95" t="s">
        <v>294</v>
      </c>
      <c r="J20" s="480"/>
      <c r="K20" s="451"/>
      <c r="L20" s="480"/>
      <c r="M20" s="451"/>
      <c r="N20" s="480"/>
      <c r="O20" s="165" t="s">
        <v>333</v>
      </c>
      <c r="P20" s="165" t="s">
        <v>295</v>
      </c>
      <c r="Q20" s="165" t="s">
        <v>294</v>
      </c>
      <c r="S20" s="465"/>
      <c r="T20" s="466"/>
      <c r="U20" s="466"/>
      <c r="V20" s="466"/>
      <c r="W20" s="466"/>
      <c r="X20" s="466"/>
      <c r="Y20" s="467"/>
    </row>
    <row r="21" spans="1:28" ht="18.5" x14ac:dyDescent="0.45">
      <c r="A21" s="73">
        <v>1</v>
      </c>
      <c r="B21" s="81" t="str">
        <f>B13</f>
        <v>USD 109.576</v>
      </c>
      <c r="C21" s="81" t="str">
        <f>D13</f>
        <v>USD 82.536</v>
      </c>
      <c r="D21" s="81" t="s">
        <v>276</v>
      </c>
      <c r="E21" s="81" t="s">
        <v>276</v>
      </c>
      <c r="F21" s="81" t="s">
        <v>276</v>
      </c>
      <c r="G21" s="81" t="s">
        <v>276</v>
      </c>
      <c r="H21" s="81" t="s">
        <v>276</v>
      </c>
      <c r="I21" s="81" t="s">
        <v>276</v>
      </c>
      <c r="J21" s="79"/>
      <c r="K21" s="79"/>
      <c r="L21" s="79"/>
      <c r="M21" s="79"/>
      <c r="N21" s="79"/>
      <c r="O21" s="79"/>
      <c r="P21" s="79"/>
      <c r="Q21" s="79"/>
      <c r="S21" s="465"/>
      <c r="T21" s="466"/>
      <c r="U21" s="466"/>
      <c r="V21" s="466"/>
      <c r="W21" s="466"/>
      <c r="X21" s="466"/>
      <c r="Y21" s="467"/>
    </row>
    <row r="22" spans="1:28" ht="14.5" customHeight="1" x14ac:dyDescent="0.45">
      <c r="A22" s="75">
        <v>2</v>
      </c>
      <c r="B22" s="443"/>
      <c r="C22" s="443"/>
      <c r="D22" s="81" t="s">
        <v>276</v>
      </c>
      <c r="E22" s="81" t="s">
        <v>276</v>
      </c>
      <c r="F22" s="81" t="s">
        <v>276</v>
      </c>
      <c r="G22" s="81" t="s">
        <v>276</v>
      </c>
      <c r="H22" s="81" t="s">
        <v>296</v>
      </c>
      <c r="I22" s="116" t="s">
        <v>297</v>
      </c>
      <c r="J22" s="79"/>
      <c r="K22" s="79"/>
      <c r="L22" s="79"/>
      <c r="M22" s="79"/>
      <c r="N22" s="79"/>
      <c r="O22" s="79"/>
      <c r="P22" s="79"/>
      <c r="Q22" s="79"/>
      <c r="S22" s="465"/>
      <c r="T22" s="466"/>
      <c r="U22" s="466"/>
      <c r="V22" s="466"/>
      <c r="W22" s="466"/>
      <c r="X22" s="466"/>
      <c r="Y22" s="467"/>
      <c r="Z22" s="202"/>
      <c r="AA22" s="202"/>
      <c r="AB22" s="202"/>
    </row>
    <row r="23" spans="1:28" ht="14.5" customHeight="1" x14ac:dyDescent="0.45">
      <c r="A23" s="75">
        <v>3</v>
      </c>
      <c r="B23" s="444"/>
      <c r="C23" s="444"/>
      <c r="D23" s="81" t="s">
        <v>276</v>
      </c>
      <c r="E23" s="81" t="s">
        <v>280</v>
      </c>
      <c r="F23" s="81" t="s">
        <v>276</v>
      </c>
      <c r="G23" s="81" t="s">
        <v>280</v>
      </c>
      <c r="H23" s="81" t="s">
        <v>299</v>
      </c>
      <c r="I23" s="116" t="s">
        <v>298</v>
      </c>
      <c r="J23" s="79"/>
      <c r="K23" s="79"/>
      <c r="L23" s="79"/>
      <c r="M23" s="79"/>
      <c r="N23" s="79"/>
      <c r="O23" s="79"/>
      <c r="P23" s="79"/>
      <c r="Q23" s="79"/>
      <c r="S23" s="465"/>
      <c r="T23" s="466"/>
      <c r="U23" s="466"/>
      <c r="V23" s="466"/>
      <c r="W23" s="466"/>
      <c r="X23" s="466"/>
      <c r="Y23" s="467"/>
      <c r="Z23" s="202"/>
      <c r="AA23" s="202"/>
      <c r="AB23" s="202"/>
    </row>
    <row r="24" spans="1:28" ht="14.5" customHeight="1" thickBot="1" x14ac:dyDescent="0.5">
      <c r="A24" s="75">
        <v>4</v>
      </c>
      <c r="B24" s="444"/>
      <c r="C24" s="444"/>
      <c r="D24" s="81" t="s">
        <v>276</v>
      </c>
      <c r="E24" s="81" t="s">
        <v>280</v>
      </c>
      <c r="F24" s="81" t="s">
        <v>276</v>
      </c>
      <c r="G24" s="81" t="s">
        <v>280</v>
      </c>
      <c r="H24" s="81" t="s">
        <v>300</v>
      </c>
      <c r="I24" s="116" t="s">
        <v>301</v>
      </c>
      <c r="J24" s="79"/>
      <c r="K24" s="79"/>
      <c r="L24" s="79"/>
      <c r="M24" s="79"/>
      <c r="N24" s="79"/>
      <c r="O24" s="79"/>
      <c r="P24" s="79"/>
      <c r="Q24" s="79"/>
      <c r="S24" s="468"/>
      <c r="T24" s="469"/>
      <c r="U24" s="469"/>
      <c r="V24" s="469"/>
      <c r="W24" s="469"/>
      <c r="X24" s="469"/>
      <c r="Y24" s="470"/>
      <c r="Z24" s="202"/>
      <c r="AA24" s="202"/>
      <c r="AB24" s="202"/>
    </row>
    <row r="25" spans="1:28" ht="14.5" customHeight="1" x14ac:dyDescent="0.45">
      <c r="A25" s="75">
        <v>5</v>
      </c>
      <c r="B25" s="444"/>
      <c r="C25" s="444"/>
      <c r="D25" s="81" t="s">
        <v>276</v>
      </c>
      <c r="E25" s="81" t="s">
        <v>282</v>
      </c>
      <c r="F25" s="81" t="s">
        <v>276</v>
      </c>
      <c r="G25" s="81" t="s">
        <v>282</v>
      </c>
      <c r="H25" s="81" t="s">
        <v>303</v>
      </c>
      <c r="I25" s="116" t="s">
        <v>302</v>
      </c>
      <c r="J25" s="79"/>
      <c r="K25" s="79"/>
      <c r="L25" s="79"/>
      <c r="M25" s="79"/>
      <c r="N25" s="79"/>
      <c r="O25" s="79"/>
      <c r="P25" s="79"/>
      <c r="Q25" s="79"/>
      <c r="S25" s="202"/>
      <c r="T25" s="202"/>
      <c r="U25" s="202"/>
      <c r="V25" s="202"/>
      <c r="W25" s="202"/>
      <c r="X25" s="202"/>
      <c r="Y25" s="202"/>
      <c r="Z25" s="202"/>
      <c r="AA25" s="202"/>
      <c r="AB25" s="202"/>
    </row>
    <row r="26" spans="1:28" ht="14.5" customHeight="1" x14ac:dyDescent="0.45">
      <c r="A26" s="75">
        <v>6</v>
      </c>
      <c r="B26" s="444"/>
      <c r="C26" s="444"/>
      <c r="D26" s="81" t="s">
        <v>281</v>
      </c>
      <c r="E26" s="81" t="s">
        <v>282</v>
      </c>
      <c r="F26" s="150" t="s">
        <v>281</v>
      </c>
      <c r="G26" s="81" t="s">
        <v>282</v>
      </c>
      <c r="H26" s="81" t="s">
        <v>308</v>
      </c>
      <c r="I26" s="81" t="s">
        <v>309</v>
      </c>
      <c r="J26" s="79"/>
      <c r="K26" s="79"/>
      <c r="L26" s="79"/>
      <c r="M26" s="79"/>
      <c r="N26" s="79"/>
      <c r="O26" s="79"/>
      <c r="P26" s="79"/>
      <c r="Q26" s="79"/>
      <c r="S26" s="202"/>
      <c r="T26" s="202"/>
      <c r="U26" s="202"/>
      <c r="V26" s="202"/>
      <c r="W26" s="202"/>
      <c r="X26" s="202"/>
      <c r="Y26" s="202"/>
      <c r="Z26" s="202"/>
      <c r="AA26" s="202"/>
      <c r="AB26" s="202"/>
    </row>
    <row r="27" spans="1:28" ht="14.5" customHeight="1" x14ac:dyDescent="0.45">
      <c r="A27" s="75">
        <v>7</v>
      </c>
      <c r="B27" s="444"/>
      <c r="C27" s="444"/>
      <c r="D27" s="81" t="s">
        <v>281</v>
      </c>
      <c r="E27" s="81" t="s">
        <v>283</v>
      </c>
      <c r="F27" s="150" t="s">
        <v>281</v>
      </c>
      <c r="G27" s="81" t="s">
        <v>283</v>
      </c>
      <c r="H27" s="81" t="s">
        <v>311</v>
      </c>
      <c r="I27" s="81" t="s">
        <v>310</v>
      </c>
      <c r="J27" s="79"/>
      <c r="K27" s="79"/>
      <c r="L27" s="79"/>
      <c r="M27" s="79"/>
      <c r="N27" s="79"/>
      <c r="O27" s="79"/>
      <c r="P27" s="79"/>
      <c r="Q27" s="79"/>
      <c r="S27" s="202"/>
      <c r="T27" s="202"/>
      <c r="U27" s="202"/>
      <c r="V27" s="202"/>
      <c r="W27" s="202"/>
      <c r="X27" s="202"/>
      <c r="Y27" s="202"/>
      <c r="Z27" s="202"/>
      <c r="AA27" s="202"/>
      <c r="AB27" s="202"/>
    </row>
    <row r="28" spans="1:28" ht="14.5" customHeight="1" x14ac:dyDescent="0.45">
      <c r="A28" s="75">
        <v>8</v>
      </c>
      <c r="B28" s="444"/>
      <c r="C28" s="444"/>
      <c r="D28" s="81" t="s">
        <v>281</v>
      </c>
      <c r="E28" s="81" t="s">
        <v>283</v>
      </c>
      <c r="F28" s="150" t="s">
        <v>281</v>
      </c>
      <c r="G28" s="81" t="s">
        <v>283</v>
      </c>
      <c r="H28" s="81" t="s">
        <v>312</v>
      </c>
      <c r="I28" s="81" t="s">
        <v>316</v>
      </c>
      <c r="J28" s="79"/>
      <c r="K28" s="79"/>
      <c r="L28" s="79"/>
      <c r="M28" s="79"/>
      <c r="N28" s="79"/>
      <c r="O28" s="79"/>
      <c r="P28" s="79"/>
      <c r="Q28" s="79"/>
      <c r="S28" s="202"/>
      <c r="T28" s="202"/>
      <c r="U28" s="202"/>
      <c r="V28" s="202"/>
      <c r="W28" s="202"/>
      <c r="X28" s="202"/>
      <c r="Y28" s="202"/>
      <c r="Z28" s="202"/>
      <c r="AA28" s="202"/>
      <c r="AB28" s="202"/>
    </row>
    <row r="29" spans="1:28" ht="14.5" customHeight="1" x14ac:dyDescent="0.45">
      <c r="A29" s="75">
        <v>9</v>
      </c>
      <c r="B29" s="444"/>
      <c r="C29" s="444"/>
      <c r="D29" s="81" t="s">
        <v>281</v>
      </c>
      <c r="E29" s="81" t="s">
        <v>284</v>
      </c>
      <c r="F29" s="150" t="s">
        <v>281</v>
      </c>
      <c r="G29" s="81" t="s">
        <v>284</v>
      </c>
      <c r="H29" s="81" t="s">
        <v>313</v>
      </c>
      <c r="I29" s="81" t="s">
        <v>317</v>
      </c>
      <c r="J29" s="79"/>
      <c r="K29" s="79"/>
      <c r="L29" s="79"/>
      <c r="M29" s="79"/>
      <c r="N29" s="79"/>
      <c r="O29" s="79"/>
      <c r="P29" s="79"/>
      <c r="Q29" s="79"/>
      <c r="R29" s="28"/>
      <c r="S29" s="202"/>
      <c r="T29" s="202"/>
      <c r="U29" s="202"/>
      <c r="V29" s="202"/>
      <c r="W29" s="202"/>
      <c r="X29" s="202"/>
      <c r="Y29" s="202"/>
      <c r="Z29" s="202"/>
      <c r="AA29" s="202"/>
      <c r="AB29" s="202"/>
    </row>
    <row r="30" spans="1:28" ht="14.5" customHeight="1" x14ac:dyDescent="0.45">
      <c r="A30" s="75">
        <v>10</v>
      </c>
      <c r="B30" s="444"/>
      <c r="C30" s="444"/>
      <c r="D30" s="81" t="s">
        <v>281</v>
      </c>
      <c r="E30" s="81" t="s">
        <v>284</v>
      </c>
      <c r="F30" s="150" t="s">
        <v>281</v>
      </c>
      <c r="G30" s="81" t="s">
        <v>284</v>
      </c>
      <c r="H30" s="81" t="s">
        <v>314</v>
      </c>
      <c r="I30" s="81" t="s">
        <v>318</v>
      </c>
      <c r="J30" s="79"/>
      <c r="K30" s="79"/>
      <c r="L30" s="79"/>
      <c r="M30" s="79"/>
      <c r="N30" s="79"/>
      <c r="O30" s="79"/>
      <c r="P30" s="79"/>
      <c r="Q30" s="79"/>
      <c r="R30" s="28"/>
      <c r="S30" s="202"/>
      <c r="T30" s="202"/>
      <c r="U30" s="202"/>
      <c r="V30" s="202"/>
      <c r="W30" s="202"/>
      <c r="X30" s="202"/>
      <c r="Y30" s="202"/>
      <c r="Z30" s="202"/>
      <c r="AA30" s="202"/>
      <c r="AB30" s="202"/>
    </row>
    <row r="31" spans="1:28" ht="14.5" customHeight="1" x14ac:dyDescent="0.45">
      <c r="A31" s="75">
        <v>11</v>
      </c>
      <c r="B31" s="444"/>
      <c r="C31" s="444"/>
      <c r="D31" s="81" t="s">
        <v>286</v>
      </c>
      <c r="E31" s="81" t="s">
        <v>287</v>
      </c>
      <c r="F31" s="150" t="s">
        <v>286</v>
      </c>
      <c r="G31" s="81" t="s">
        <v>287</v>
      </c>
      <c r="H31" s="81" t="s">
        <v>315</v>
      </c>
      <c r="I31" s="81" t="s">
        <v>319</v>
      </c>
      <c r="J31" s="79"/>
      <c r="K31" s="79"/>
      <c r="L31" s="79"/>
      <c r="M31" s="79"/>
      <c r="N31" s="79"/>
      <c r="O31" s="79"/>
      <c r="P31" s="79"/>
      <c r="Q31" s="79"/>
      <c r="R31" s="28"/>
      <c r="S31" s="202"/>
      <c r="T31" s="202"/>
      <c r="U31" s="202"/>
      <c r="V31" s="202"/>
      <c r="W31" s="202"/>
      <c r="X31" s="202"/>
      <c r="Y31" s="202"/>
      <c r="Z31" s="202"/>
      <c r="AA31" s="202"/>
      <c r="AB31" s="202"/>
    </row>
    <row r="32" spans="1:28" ht="14.5" customHeight="1" x14ac:dyDescent="0.45">
      <c r="A32" s="75" t="s">
        <v>160</v>
      </c>
      <c r="B32" s="444"/>
      <c r="C32" s="444"/>
      <c r="D32" s="81"/>
      <c r="E32" s="81"/>
      <c r="F32" s="81"/>
      <c r="G32" s="81"/>
      <c r="H32" s="81"/>
      <c r="I32" s="81"/>
      <c r="J32" s="78"/>
      <c r="K32" s="79"/>
      <c r="L32" s="66"/>
      <c r="M32" s="78"/>
      <c r="N32" s="79"/>
      <c r="O32" s="79"/>
      <c r="P32" s="79"/>
      <c r="Q32" s="79"/>
      <c r="R32" s="28"/>
      <c r="S32" s="202"/>
      <c r="T32" s="202"/>
      <c r="U32" s="202"/>
      <c r="V32" s="202"/>
      <c r="W32" s="202"/>
      <c r="X32" s="202"/>
      <c r="Y32" s="202"/>
      <c r="Z32" s="202"/>
      <c r="AA32" s="202"/>
      <c r="AB32" s="202"/>
    </row>
    <row r="33" spans="1:28" ht="14.5" customHeight="1" x14ac:dyDescent="0.45">
      <c r="A33" s="75" t="s">
        <v>160</v>
      </c>
      <c r="B33" s="444"/>
      <c r="C33" s="444"/>
      <c r="D33" s="81"/>
      <c r="E33" s="81"/>
      <c r="F33" s="81"/>
      <c r="G33" s="81"/>
      <c r="H33" s="81"/>
      <c r="I33" s="81"/>
      <c r="J33" s="79"/>
      <c r="K33" s="79"/>
      <c r="L33" s="79"/>
      <c r="M33" s="79"/>
      <c r="N33" s="79"/>
      <c r="O33" s="79"/>
      <c r="P33" s="79"/>
      <c r="Q33" s="79"/>
      <c r="R33" s="28"/>
      <c r="S33" s="202"/>
      <c r="T33" s="202"/>
      <c r="U33" s="202"/>
      <c r="V33" s="202"/>
      <c r="W33" s="202"/>
      <c r="X33" s="202"/>
      <c r="Y33" s="202"/>
      <c r="Z33" s="202"/>
      <c r="AA33" s="202"/>
      <c r="AB33" s="202"/>
    </row>
    <row r="34" spans="1:28" ht="14.5" customHeight="1" x14ac:dyDescent="0.45">
      <c r="A34" s="75">
        <v>20</v>
      </c>
      <c r="B34" s="444"/>
      <c r="C34" s="444"/>
      <c r="D34" s="81" t="s">
        <v>288</v>
      </c>
      <c r="E34" s="81" t="s">
        <v>320</v>
      </c>
      <c r="F34" s="150" t="s">
        <v>288</v>
      </c>
      <c r="G34" s="81" t="s">
        <v>320</v>
      </c>
      <c r="H34" s="81" t="s">
        <v>321</v>
      </c>
      <c r="I34" s="81" t="s">
        <v>322</v>
      </c>
      <c r="J34" s="199" t="s">
        <v>343</v>
      </c>
      <c r="K34" s="77" t="s">
        <v>13</v>
      </c>
      <c r="L34" s="79"/>
      <c r="M34" s="79"/>
      <c r="N34" s="79"/>
      <c r="O34" s="79"/>
      <c r="P34" s="79"/>
      <c r="Q34" s="79"/>
      <c r="R34" s="28"/>
      <c r="S34" s="202"/>
      <c r="T34" s="202"/>
      <c r="U34" s="202"/>
      <c r="V34" s="202"/>
      <c r="W34" s="202"/>
      <c r="X34" s="202"/>
      <c r="Y34" s="202"/>
      <c r="Z34" s="202"/>
      <c r="AA34" s="202"/>
      <c r="AB34" s="202"/>
    </row>
    <row r="35" spans="1:28" ht="14.5" customHeight="1" x14ac:dyDescent="0.45">
      <c r="A35" s="75">
        <v>21</v>
      </c>
      <c r="B35" s="444"/>
      <c r="C35" s="444"/>
      <c r="D35" s="80" t="s">
        <v>289</v>
      </c>
      <c r="E35" s="159" t="s">
        <v>189</v>
      </c>
      <c r="F35" s="161" t="s">
        <v>289</v>
      </c>
      <c r="G35" s="440" t="s">
        <v>189</v>
      </c>
      <c r="H35" s="441"/>
      <c r="I35" s="442"/>
      <c r="J35" s="79"/>
      <c r="K35" s="79"/>
      <c r="L35" s="161" t="s">
        <v>323</v>
      </c>
      <c r="M35" s="79"/>
      <c r="N35" s="79"/>
      <c r="O35" s="79"/>
      <c r="P35" s="79"/>
      <c r="Q35" s="79"/>
      <c r="R35" s="28"/>
      <c r="S35" s="202"/>
      <c r="T35" s="202"/>
      <c r="U35" s="202"/>
      <c r="V35" s="202"/>
      <c r="W35" s="202"/>
      <c r="X35" s="202"/>
      <c r="Y35" s="202"/>
      <c r="Z35" s="202"/>
      <c r="AA35" s="202"/>
      <c r="AB35" s="202"/>
    </row>
    <row r="36" spans="1:28" ht="14.5" customHeight="1" x14ac:dyDescent="0.45">
      <c r="A36" s="75" t="s">
        <v>160</v>
      </c>
      <c r="B36" s="444"/>
      <c r="C36" s="444"/>
      <c r="D36" s="81"/>
      <c r="E36" s="80"/>
      <c r="F36" s="81"/>
      <c r="G36" s="80"/>
      <c r="H36" s="80"/>
      <c r="I36" s="80"/>
      <c r="J36" s="79"/>
      <c r="K36" s="79"/>
      <c r="L36" s="79"/>
      <c r="M36" s="79"/>
      <c r="N36" s="79"/>
      <c r="O36" s="79"/>
      <c r="P36" s="79"/>
      <c r="Q36" s="79"/>
      <c r="R36" s="28"/>
      <c r="S36" s="202"/>
      <c r="T36" s="202"/>
      <c r="U36" s="202"/>
      <c r="V36" s="202"/>
      <c r="W36" s="202"/>
      <c r="X36" s="202"/>
      <c r="Y36" s="202"/>
      <c r="Z36" s="202"/>
      <c r="AA36" s="202"/>
      <c r="AB36" s="202"/>
    </row>
    <row r="37" spans="1:28" ht="14.5" customHeight="1" x14ac:dyDescent="0.45">
      <c r="A37" s="75">
        <v>25</v>
      </c>
      <c r="B37" s="444"/>
      <c r="C37" s="444"/>
      <c r="D37" s="81" t="s">
        <v>289</v>
      </c>
      <c r="E37" s="80" t="s">
        <v>304</v>
      </c>
      <c r="F37" s="161" t="s">
        <v>289</v>
      </c>
      <c r="G37" s="80" t="s">
        <v>304</v>
      </c>
      <c r="H37" s="160" t="s">
        <v>325</v>
      </c>
      <c r="I37" s="160" t="s">
        <v>324</v>
      </c>
      <c r="J37" s="79"/>
      <c r="K37" s="79"/>
      <c r="L37" s="79"/>
      <c r="M37" s="80" t="s">
        <v>292</v>
      </c>
      <c r="N37" s="79"/>
      <c r="O37" s="79"/>
      <c r="P37" s="79"/>
      <c r="Q37" s="79"/>
      <c r="S37" s="202"/>
      <c r="T37" s="202"/>
      <c r="U37" s="202"/>
      <c r="V37" s="202"/>
      <c r="W37" s="202"/>
      <c r="X37" s="202"/>
      <c r="Y37" s="202"/>
      <c r="Z37" s="202"/>
      <c r="AA37" s="202"/>
      <c r="AB37" s="202"/>
    </row>
    <row r="38" spans="1:28" ht="14.5" customHeight="1" x14ac:dyDescent="0.35">
      <c r="A38" s="77" t="s">
        <v>160</v>
      </c>
      <c r="B38" s="444"/>
      <c r="C38" s="444"/>
      <c r="D38" s="81"/>
      <c r="E38" s="81"/>
      <c r="F38" s="81"/>
      <c r="G38" s="81"/>
      <c r="H38" s="81"/>
      <c r="I38" s="81"/>
      <c r="J38" s="79"/>
      <c r="K38" s="79"/>
      <c r="L38" s="79"/>
      <c r="M38" s="79"/>
      <c r="N38" s="79"/>
      <c r="O38" s="79"/>
      <c r="P38" s="79"/>
      <c r="Q38" s="79"/>
      <c r="R38" s="53"/>
      <c r="S38" s="202"/>
      <c r="T38" s="202"/>
      <c r="U38" s="202"/>
      <c r="V38" s="202"/>
      <c r="W38" s="202"/>
      <c r="X38" s="202"/>
      <c r="Y38" s="202"/>
      <c r="Z38" s="202"/>
      <c r="AA38" s="202"/>
      <c r="AB38" s="202"/>
    </row>
    <row r="39" spans="1:28" ht="14.5" customHeight="1" x14ac:dyDescent="0.35">
      <c r="A39" s="77">
        <v>30</v>
      </c>
      <c r="B39" s="444"/>
      <c r="C39" s="444"/>
      <c r="D39" s="81" t="s">
        <v>290</v>
      </c>
      <c r="E39" s="81" t="s">
        <v>326</v>
      </c>
      <c r="F39" s="150" t="s">
        <v>290</v>
      </c>
      <c r="G39" s="81" t="s">
        <v>326</v>
      </c>
      <c r="H39" s="81" t="s">
        <v>327</v>
      </c>
      <c r="I39" s="81" t="s">
        <v>328</v>
      </c>
      <c r="J39" s="79"/>
      <c r="K39" s="79"/>
      <c r="L39" s="79"/>
      <c r="M39" s="79"/>
      <c r="N39" s="79"/>
      <c r="O39" s="79"/>
      <c r="P39" s="79"/>
      <c r="Q39" s="79"/>
      <c r="S39" s="202"/>
      <c r="T39" s="202"/>
      <c r="U39" s="202"/>
      <c r="V39" s="202"/>
      <c r="W39" s="202"/>
      <c r="X39" s="202"/>
      <c r="Y39" s="202"/>
      <c r="Z39" s="202"/>
      <c r="AA39" s="202"/>
      <c r="AB39" s="202"/>
    </row>
    <row r="40" spans="1:28" ht="14.5" customHeight="1" x14ac:dyDescent="0.35">
      <c r="A40" s="77" t="s">
        <v>160</v>
      </c>
      <c r="B40" s="444"/>
      <c r="C40" s="444"/>
      <c r="D40" s="80"/>
      <c r="E40" s="80"/>
      <c r="F40" s="80"/>
      <c r="G40" s="80"/>
      <c r="H40" s="80"/>
      <c r="I40" s="80"/>
      <c r="J40" s="79"/>
      <c r="K40" s="79"/>
      <c r="L40" s="79"/>
      <c r="M40" s="79"/>
      <c r="N40" s="79"/>
      <c r="O40" s="79"/>
      <c r="P40" s="79"/>
      <c r="Q40" s="79"/>
      <c r="S40" s="202"/>
      <c r="T40" s="202"/>
      <c r="U40" s="202"/>
      <c r="V40" s="202"/>
      <c r="W40" s="202"/>
      <c r="X40" s="202"/>
      <c r="Y40" s="202"/>
      <c r="Z40" s="202"/>
      <c r="AA40" s="202"/>
      <c r="AB40" s="202"/>
    </row>
    <row r="41" spans="1:28" ht="14.5" customHeight="1" x14ac:dyDescent="0.45">
      <c r="A41" s="75">
        <v>35</v>
      </c>
      <c r="B41" s="444"/>
      <c r="C41" s="444"/>
      <c r="D41" s="81" t="s">
        <v>291</v>
      </c>
      <c r="E41" s="81" t="s">
        <v>305</v>
      </c>
      <c r="F41" s="150" t="s">
        <v>291</v>
      </c>
      <c r="G41" s="81" t="s">
        <v>305</v>
      </c>
      <c r="H41" s="81" t="s">
        <v>329</v>
      </c>
      <c r="I41" s="81" t="s">
        <v>330</v>
      </c>
      <c r="J41" s="79"/>
      <c r="K41" s="79"/>
      <c r="L41" s="66"/>
      <c r="M41" s="78"/>
      <c r="N41" s="79"/>
      <c r="O41" s="79"/>
      <c r="P41" s="79"/>
      <c r="Q41" s="79"/>
      <c r="S41" s="202"/>
      <c r="T41" s="202"/>
      <c r="U41" s="202"/>
      <c r="V41" s="202"/>
      <c r="W41" s="202"/>
      <c r="X41" s="202"/>
      <c r="Y41" s="202"/>
      <c r="Z41" s="202"/>
      <c r="AA41" s="202"/>
      <c r="AB41" s="202"/>
    </row>
    <row r="42" spans="1:28" ht="14.5" customHeight="1" x14ac:dyDescent="0.35">
      <c r="A42" s="77"/>
      <c r="B42" s="444"/>
      <c r="C42" s="444"/>
      <c r="D42" s="80"/>
      <c r="E42" s="80"/>
      <c r="F42" s="80"/>
      <c r="G42" s="80"/>
      <c r="H42" s="80"/>
      <c r="I42" s="80"/>
      <c r="J42" s="79"/>
      <c r="K42" s="79"/>
      <c r="L42" s="79"/>
      <c r="M42" s="79"/>
      <c r="N42" s="79"/>
      <c r="O42" s="79"/>
      <c r="P42" s="79"/>
      <c r="Q42" s="79"/>
      <c r="S42" s="202"/>
      <c r="T42" s="202"/>
      <c r="U42" s="202"/>
      <c r="V42" s="202"/>
      <c r="W42" s="202"/>
      <c r="X42" s="202"/>
      <c r="Y42" s="202"/>
      <c r="Z42" s="202"/>
      <c r="AA42" s="202"/>
      <c r="AB42" s="202"/>
    </row>
    <row r="43" spans="1:28" ht="14.5" customHeight="1" x14ac:dyDescent="0.35">
      <c r="A43" s="77">
        <v>40</v>
      </c>
      <c r="B43" s="444"/>
      <c r="C43" s="444"/>
      <c r="D43" s="81" t="s">
        <v>291</v>
      </c>
      <c r="E43" s="80" t="s">
        <v>306</v>
      </c>
      <c r="F43" s="81" t="s">
        <v>291</v>
      </c>
      <c r="G43" s="80" t="s">
        <v>306</v>
      </c>
      <c r="H43" s="80" t="s">
        <v>331</v>
      </c>
      <c r="I43" s="203" t="s">
        <v>332</v>
      </c>
      <c r="J43" s="79"/>
      <c r="K43" s="79"/>
      <c r="L43" s="79"/>
      <c r="M43" s="79"/>
      <c r="N43" s="78"/>
      <c r="O43" s="78"/>
      <c r="P43" s="78"/>
      <c r="Q43" s="78"/>
      <c r="S43" s="202"/>
      <c r="T43" s="202"/>
      <c r="U43" s="202"/>
      <c r="V43" s="202"/>
      <c r="W43" s="202"/>
      <c r="X43" s="202"/>
      <c r="Y43" s="202"/>
      <c r="Z43" s="202"/>
      <c r="AA43" s="202"/>
      <c r="AB43" s="202"/>
    </row>
    <row r="44" spans="1:28" ht="14.5" customHeight="1" x14ac:dyDescent="0.35">
      <c r="A44" s="77" t="s">
        <v>160</v>
      </c>
      <c r="B44" s="444"/>
      <c r="C44" s="444"/>
      <c r="E44" s="79"/>
      <c r="F44" s="158"/>
      <c r="G44" s="79"/>
      <c r="H44" s="80"/>
      <c r="I44" s="80"/>
      <c r="J44" s="79"/>
      <c r="K44" s="79"/>
      <c r="L44" s="79"/>
      <c r="M44" s="79"/>
      <c r="N44" s="126"/>
      <c r="O44" s="126"/>
      <c r="P44" s="126"/>
      <c r="Q44" s="126"/>
      <c r="S44" s="202"/>
      <c r="T44" s="202"/>
      <c r="U44" s="202"/>
      <c r="V44" s="202"/>
      <c r="W44" s="202"/>
      <c r="X44" s="202"/>
      <c r="Y44" s="202"/>
      <c r="Z44" s="202"/>
      <c r="AA44" s="202"/>
      <c r="AB44" s="202"/>
    </row>
    <row r="45" spans="1:28" ht="14.5" customHeight="1" x14ac:dyDescent="0.35">
      <c r="A45" s="77">
        <v>59</v>
      </c>
      <c r="B45" s="444"/>
      <c r="C45" s="444"/>
      <c r="D45" s="81" t="s">
        <v>291</v>
      </c>
      <c r="E45" s="159" t="s">
        <v>189</v>
      </c>
      <c r="F45" s="81" t="s">
        <v>291</v>
      </c>
      <c r="G45" s="440" t="s">
        <v>189</v>
      </c>
      <c r="H45" s="441"/>
      <c r="I45" s="442"/>
      <c r="J45" s="79"/>
      <c r="K45" s="79"/>
      <c r="L45" s="79"/>
      <c r="M45" s="79"/>
      <c r="N45" s="81" t="s">
        <v>291</v>
      </c>
      <c r="O45" s="78"/>
      <c r="P45" s="78"/>
      <c r="Q45" s="78"/>
      <c r="S45" s="202"/>
      <c r="T45" s="202"/>
      <c r="U45" s="202"/>
      <c r="V45" s="202"/>
      <c r="W45" s="202"/>
      <c r="X45" s="202"/>
      <c r="Y45" s="202"/>
      <c r="Z45" s="202"/>
      <c r="AA45" s="202"/>
      <c r="AB45" s="202"/>
    </row>
    <row r="46" spans="1:28" ht="15" customHeight="1" x14ac:dyDescent="0.35">
      <c r="A46" s="77">
        <v>60</v>
      </c>
      <c r="B46" s="445"/>
      <c r="C46" s="445"/>
      <c r="D46" s="80" t="s">
        <v>291</v>
      </c>
      <c r="E46" s="81" t="s">
        <v>307</v>
      </c>
      <c r="F46" s="80" t="s">
        <v>291</v>
      </c>
      <c r="G46" s="81" t="s">
        <v>307</v>
      </c>
      <c r="H46" s="81" t="s">
        <v>336</v>
      </c>
      <c r="I46" s="116" t="s">
        <v>337</v>
      </c>
      <c r="J46" s="79"/>
      <c r="K46" s="79"/>
      <c r="L46" s="79"/>
      <c r="M46" s="79"/>
      <c r="N46" s="79"/>
      <c r="O46" s="80" t="s">
        <v>307</v>
      </c>
      <c r="P46" s="80" t="s">
        <v>334</v>
      </c>
      <c r="Q46" s="203" t="s">
        <v>335</v>
      </c>
      <c r="S46" s="202"/>
      <c r="T46" s="202"/>
      <c r="U46" s="202"/>
      <c r="V46" s="202"/>
      <c r="W46" s="202"/>
      <c r="X46" s="202"/>
      <c r="Y46" s="202"/>
      <c r="Z46" s="202"/>
      <c r="AA46" s="202"/>
      <c r="AB46" s="202"/>
    </row>
    <row r="47" spans="1:28" ht="18.5" customHeight="1" x14ac:dyDescent="0.35">
      <c r="S47" s="202"/>
      <c r="T47" s="202"/>
      <c r="U47" s="202"/>
      <c r="V47" s="202"/>
      <c r="W47" s="202"/>
      <c r="X47" s="202"/>
      <c r="Y47" s="202"/>
      <c r="Z47" s="202"/>
      <c r="AA47" s="202"/>
      <c r="AB47" s="202"/>
    </row>
    <row r="48" spans="1:28" ht="18.5" customHeight="1" x14ac:dyDescent="0.35">
      <c r="S48" s="202"/>
      <c r="T48" s="202"/>
      <c r="U48" s="202"/>
      <c r="V48" s="202"/>
      <c r="W48" s="202"/>
      <c r="X48" s="202"/>
      <c r="Y48" s="202"/>
      <c r="Z48" s="202"/>
      <c r="AA48" s="202"/>
      <c r="AB48" s="202"/>
    </row>
    <row r="49" spans="4:28" ht="18.5" customHeight="1" x14ac:dyDescent="0.35">
      <c r="S49" s="202"/>
      <c r="T49" s="202"/>
      <c r="U49" s="202"/>
      <c r="V49" s="202"/>
      <c r="W49" s="202"/>
      <c r="X49" s="202"/>
      <c r="Y49" s="202"/>
      <c r="Z49" s="202"/>
      <c r="AA49" s="202"/>
      <c r="AB49" s="202"/>
    </row>
    <row r="50" spans="4:28" ht="18.5" customHeight="1" x14ac:dyDescent="0.35">
      <c r="S50" s="202"/>
      <c r="T50" s="202"/>
      <c r="U50" s="202"/>
      <c r="V50" s="202"/>
      <c r="W50" s="202"/>
      <c r="X50" s="202"/>
      <c r="Y50" s="202"/>
      <c r="Z50" s="202"/>
      <c r="AA50" s="202"/>
      <c r="AB50" s="202"/>
    </row>
    <row r="51" spans="4:28" ht="18.5" customHeight="1" x14ac:dyDescent="0.35">
      <c r="D51" s="204"/>
      <c r="S51" s="202"/>
      <c r="T51" s="202"/>
      <c r="U51" s="202"/>
      <c r="V51" s="202"/>
      <c r="W51" s="202"/>
      <c r="X51" s="202"/>
      <c r="Y51" s="202"/>
      <c r="Z51" s="202"/>
      <c r="AA51" s="202"/>
      <c r="AB51" s="202"/>
    </row>
    <row r="52" spans="4:28" ht="18.5" customHeight="1" x14ac:dyDescent="0.35">
      <c r="N52" s="51"/>
      <c r="S52" s="202"/>
      <c r="T52" s="202"/>
      <c r="U52" s="202"/>
      <c r="V52" s="202"/>
      <c r="W52" s="202"/>
      <c r="X52" s="202"/>
      <c r="Y52" s="202"/>
      <c r="Z52" s="202"/>
      <c r="AA52" s="202"/>
      <c r="AB52" s="202"/>
    </row>
    <row r="53" spans="4:28" ht="14.5" customHeight="1" x14ac:dyDescent="0.35">
      <c r="I53" s="9"/>
      <c r="S53" s="202"/>
      <c r="T53" s="202"/>
      <c r="U53" s="202"/>
      <c r="V53" s="202"/>
      <c r="W53" s="202"/>
      <c r="X53" s="202"/>
      <c r="Y53" s="202"/>
      <c r="Z53" s="202"/>
      <c r="AA53" s="202"/>
      <c r="AB53" s="202"/>
    </row>
    <row r="54" spans="4:28" ht="15" customHeight="1" x14ac:dyDescent="0.35">
      <c r="S54" s="202"/>
      <c r="T54" s="202"/>
      <c r="U54" s="202"/>
      <c r="V54" s="202"/>
      <c r="W54" s="202"/>
      <c r="X54" s="202"/>
      <c r="Y54" s="202"/>
      <c r="Z54" s="202"/>
      <c r="AA54" s="202"/>
      <c r="AB54" s="202"/>
    </row>
    <row r="55" spans="4:28" ht="14.5" customHeight="1" x14ac:dyDescent="0.35">
      <c r="S55" s="202"/>
      <c r="T55" s="202"/>
      <c r="U55" s="202"/>
      <c r="V55" s="202"/>
      <c r="W55" s="202"/>
      <c r="X55" s="202"/>
      <c r="Y55" s="202"/>
      <c r="Z55" s="202"/>
      <c r="AA55" s="202"/>
      <c r="AB55" s="202"/>
    </row>
    <row r="56" spans="4:28" ht="14.5" customHeight="1" x14ac:dyDescent="0.35">
      <c r="R56" s="28"/>
      <c r="S56" s="202"/>
      <c r="T56" s="202"/>
      <c r="U56" s="202"/>
      <c r="V56" s="202"/>
      <c r="W56" s="202"/>
      <c r="X56" s="202"/>
      <c r="Y56" s="202"/>
      <c r="Z56" s="202"/>
      <c r="AA56" s="202"/>
      <c r="AB56" s="202"/>
    </row>
    <row r="57" spans="4:28" ht="14.5" customHeight="1" x14ac:dyDescent="0.35">
      <c r="R57" s="51"/>
      <c r="S57" s="202"/>
      <c r="T57" s="202"/>
      <c r="U57" s="202"/>
      <c r="V57" s="202"/>
      <c r="W57" s="202"/>
      <c r="X57" s="202"/>
      <c r="Y57" s="202"/>
      <c r="Z57" s="202"/>
      <c r="AA57" s="202"/>
      <c r="AB57" s="202"/>
    </row>
    <row r="58" spans="4:28" ht="14.5" customHeight="1" x14ac:dyDescent="0.35">
      <c r="S58" s="202"/>
      <c r="T58" s="202"/>
      <c r="U58" s="202"/>
      <c r="V58" s="202"/>
      <c r="W58" s="202"/>
      <c r="X58" s="202"/>
      <c r="Y58" s="202"/>
      <c r="Z58" s="202"/>
      <c r="AA58" s="202"/>
      <c r="AB58" s="202"/>
    </row>
    <row r="59" spans="4:28" ht="14.5" customHeight="1" x14ac:dyDescent="0.35">
      <c r="S59" s="202"/>
      <c r="T59" s="202"/>
      <c r="U59" s="202"/>
      <c r="V59" s="202"/>
      <c r="W59" s="202"/>
      <c r="X59" s="202"/>
      <c r="Y59" s="202"/>
      <c r="Z59" s="202"/>
      <c r="AA59" s="202"/>
      <c r="AB59" s="202"/>
    </row>
    <row r="60" spans="4:28" ht="14.5" customHeight="1" x14ac:dyDescent="0.35">
      <c r="S60" s="202"/>
      <c r="T60" s="202"/>
      <c r="U60" s="202"/>
      <c r="V60" s="202"/>
      <c r="W60" s="202"/>
      <c r="X60" s="202"/>
      <c r="Y60" s="202"/>
      <c r="Z60" s="202"/>
      <c r="AA60" s="202"/>
      <c r="AB60" s="202"/>
    </row>
    <row r="61" spans="4:28" ht="14.5" customHeight="1" x14ac:dyDescent="0.35">
      <c r="S61" s="202"/>
      <c r="T61" s="202"/>
      <c r="U61" s="202"/>
      <c r="V61" s="202"/>
      <c r="W61" s="202"/>
      <c r="X61" s="202"/>
      <c r="Y61" s="202"/>
      <c r="Z61" s="202"/>
      <c r="AA61" s="202"/>
      <c r="AB61" s="202"/>
    </row>
    <row r="62" spans="4:28" ht="14.5" customHeight="1" x14ac:dyDescent="0.35">
      <c r="S62" s="202"/>
      <c r="T62" s="202"/>
      <c r="U62" s="202"/>
      <c r="V62" s="202"/>
      <c r="W62" s="202"/>
      <c r="X62" s="202"/>
      <c r="Y62" s="202"/>
      <c r="Z62" s="202"/>
      <c r="AA62" s="202"/>
      <c r="AB62" s="202"/>
    </row>
    <row r="63" spans="4:28" ht="14.5" customHeight="1" x14ac:dyDescent="0.35">
      <c r="S63" s="202"/>
      <c r="T63" s="202"/>
      <c r="U63" s="202"/>
      <c r="V63" s="202"/>
      <c r="W63" s="202"/>
      <c r="X63" s="202"/>
      <c r="Y63" s="202"/>
      <c r="Z63" s="202"/>
      <c r="AA63" s="202"/>
      <c r="AB63" s="202"/>
    </row>
    <row r="64" spans="4:28" ht="14.5" customHeight="1" x14ac:dyDescent="0.35">
      <c r="S64" s="202"/>
      <c r="T64" s="202"/>
      <c r="U64" s="202"/>
      <c r="V64" s="202"/>
      <c r="W64" s="202"/>
      <c r="X64" s="202"/>
      <c r="Y64" s="202"/>
      <c r="Z64" s="202"/>
      <c r="AA64" s="202"/>
      <c r="AB64" s="202"/>
    </row>
    <row r="65" spans="19:28" ht="15" customHeight="1" x14ac:dyDescent="0.35">
      <c r="S65" s="202"/>
      <c r="T65" s="202"/>
      <c r="U65" s="202"/>
      <c r="V65" s="202"/>
      <c r="W65" s="202"/>
      <c r="X65" s="202"/>
      <c r="Y65" s="202"/>
      <c r="Z65" s="202"/>
      <c r="AA65" s="202"/>
      <c r="AB65" s="202"/>
    </row>
  </sheetData>
  <mergeCells count="55">
    <mergeCell ref="A17:Q17"/>
    <mergeCell ref="B19:B20"/>
    <mergeCell ref="C19:C20"/>
    <mergeCell ref="D19:D20"/>
    <mergeCell ref="E19:E20"/>
    <mergeCell ref="F19:F20"/>
    <mergeCell ref="B18:C18"/>
    <mergeCell ref="D18:E18"/>
    <mergeCell ref="J18:K18"/>
    <mergeCell ref="L18:M18"/>
    <mergeCell ref="N18:Q18"/>
    <mergeCell ref="A1:E1"/>
    <mergeCell ref="A2:B2"/>
    <mergeCell ref="D2:E2"/>
    <mergeCell ref="L1:P1"/>
    <mergeCell ref="M2:N2"/>
    <mergeCell ref="O2:P2"/>
    <mergeCell ref="M3:N3"/>
    <mergeCell ref="O3:P3"/>
    <mergeCell ref="M4:N4"/>
    <mergeCell ref="O4:P4"/>
    <mergeCell ref="M5:N5"/>
    <mergeCell ref="O5:P5"/>
    <mergeCell ref="S1:Y24"/>
    <mergeCell ref="G35:I35"/>
    <mergeCell ref="G1:J1"/>
    <mergeCell ref="G2:H2"/>
    <mergeCell ref="G3:H3"/>
    <mergeCell ref="G4:H5"/>
    <mergeCell ref="I4:I5"/>
    <mergeCell ref="J4:J5"/>
    <mergeCell ref="G7:H7"/>
    <mergeCell ref="G8:H8"/>
    <mergeCell ref="L19:L20"/>
    <mergeCell ref="N19:N20"/>
    <mergeCell ref="O19:Q19"/>
    <mergeCell ref="G19:I19"/>
    <mergeCell ref="F18:I18"/>
    <mergeCell ref="J19:J20"/>
    <mergeCell ref="G45:I45"/>
    <mergeCell ref="B22:B46"/>
    <mergeCell ref="C22:C46"/>
    <mergeCell ref="M6:N6"/>
    <mergeCell ref="O6:P6"/>
    <mergeCell ref="M7:N7"/>
    <mergeCell ref="O7:P7"/>
    <mergeCell ref="K19:K20"/>
    <mergeCell ref="M19:M20"/>
    <mergeCell ref="B14:C14"/>
    <mergeCell ref="D14:E14"/>
    <mergeCell ref="A11:E11"/>
    <mergeCell ref="B12:C12"/>
    <mergeCell ref="D12:E12"/>
    <mergeCell ref="B13:C13"/>
    <mergeCell ref="D13:E13"/>
  </mergeCells>
  <phoneticPr fontId="37"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00EE1-EA72-4443-8334-856110E861F8}">
  <dimension ref="A1:T47"/>
  <sheetViews>
    <sheetView zoomScale="58" zoomScaleNormal="70" workbookViewId="0">
      <pane ySplit="18" topLeftCell="A19" activePane="bottomLeft" state="frozen"/>
      <selection pane="bottomLeft" activeCell="G9" sqref="G9:H9"/>
    </sheetView>
  </sheetViews>
  <sheetFormatPr defaultRowHeight="14.5" x14ac:dyDescent="0.35"/>
  <cols>
    <col min="1" max="1" width="19.81640625" customWidth="1"/>
    <col min="2" max="2" width="23.26953125" bestFit="1" customWidth="1"/>
    <col min="3" max="3" width="21.1796875" bestFit="1" customWidth="1"/>
    <col min="4" max="4" width="24" bestFit="1" customWidth="1"/>
    <col min="5" max="6" width="23.26953125" bestFit="1" customWidth="1"/>
    <col min="7" max="7" width="18" bestFit="1" customWidth="1"/>
    <col min="8" max="9" width="23.26953125" bestFit="1" customWidth="1"/>
    <col min="10" max="10" width="22.81640625" customWidth="1"/>
    <col min="11" max="11" width="10.1796875" bestFit="1" customWidth="1"/>
    <col min="12" max="12" width="2.36328125" customWidth="1"/>
    <col min="13" max="13" width="24.81640625" customWidth="1"/>
    <col min="14" max="14" width="13.54296875" customWidth="1"/>
    <col min="15" max="15" width="17.1796875" customWidth="1"/>
    <col min="16" max="16" width="8.7265625" customWidth="1"/>
    <col min="17" max="17" width="20.08984375" customWidth="1"/>
  </cols>
  <sheetData>
    <row r="1" spans="1:17" s="112" customFormat="1" ht="45" customHeight="1" x14ac:dyDescent="0.35">
      <c r="A1" s="416" t="s">
        <v>170</v>
      </c>
      <c r="B1" s="416"/>
      <c r="C1" s="416"/>
      <c r="D1" s="416"/>
      <c r="E1" s="416"/>
      <c r="G1" s="380" t="s">
        <v>190</v>
      </c>
      <c r="H1" s="380"/>
      <c r="I1" s="380"/>
      <c r="J1" s="380"/>
      <c r="M1" s="380" t="s">
        <v>198</v>
      </c>
      <c r="N1" s="380"/>
      <c r="O1" s="380"/>
      <c r="P1" s="380"/>
      <c r="Q1" s="380"/>
    </row>
    <row r="2" spans="1:17" ht="18.5" x14ac:dyDescent="0.45">
      <c r="A2" s="417" t="s">
        <v>114</v>
      </c>
      <c r="B2" s="418"/>
      <c r="C2" s="65"/>
      <c r="D2" s="506" t="s">
        <v>178</v>
      </c>
      <c r="E2" s="506"/>
      <c r="F2" s="65"/>
      <c r="G2" s="408" t="s">
        <v>33</v>
      </c>
      <c r="H2" s="408"/>
      <c r="I2" s="99" t="s">
        <v>114</v>
      </c>
      <c r="J2" s="105" t="s">
        <v>178</v>
      </c>
      <c r="M2" s="90"/>
      <c r="N2" s="381" t="s">
        <v>114</v>
      </c>
      <c r="O2" s="381"/>
      <c r="P2" s="506" t="s">
        <v>178</v>
      </c>
      <c r="Q2" s="506"/>
    </row>
    <row r="3" spans="1:17" ht="23.5" x14ac:dyDescent="0.45">
      <c r="A3" s="86" t="s">
        <v>110</v>
      </c>
      <c r="B3" s="76" t="s">
        <v>221</v>
      </c>
      <c r="C3" s="65"/>
      <c r="D3" s="86" t="s">
        <v>110</v>
      </c>
      <c r="E3" s="101" t="s">
        <v>182</v>
      </c>
      <c r="F3" s="65"/>
      <c r="G3" s="368" t="s">
        <v>191</v>
      </c>
      <c r="H3" s="369"/>
      <c r="I3" s="71" t="s">
        <v>193</v>
      </c>
      <c r="J3" s="71" t="s">
        <v>193</v>
      </c>
      <c r="M3" s="106" t="s">
        <v>111</v>
      </c>
      <c r="N3" s="386" t="s">
        <v>201</v>
      </c>
      <c r="O3" s="386"/>
      <c r="P3" s="386" t="s">
        <v>206</v>
      </c>
      <c r="Q3" s="386"/>
    </row>
    <row r="4" spans="1:17" ht="18.5" x14ac:dyDescent="0.45">
      <c r="A4" s="86" t="s">
        <v>111</v>
      </c>
      <c r="B4" s="76" t="s">
        <v>179</v>
      </c>
      <c r="C4" s="65"/>
      <c r="D4" s="86" t="s">
        <v>111</v>
      </c>
      <c r="E4" s="87" t="s">
        <v>179</v>
      </c>
      <c r="F4" s="65"/>
      <c r="G4" s="409" t="s">
        <v>192</v>
      </c>
      <c r="H4" s="409"/>
      <c r="I4" s="410" t="s">
        <v>193</v>
      </c>
      <c r="J4" s="411" t="s">
        <v>194</v>
      </c>
      <c r="M4" s="90" t="s">
        <v>200</v>
      </c>
      <c r="N4" s="383" t="s">
        <v>202</v>
      </c>
      <c r="O4" s="384"/>
      <c r="P4" s="387" t="s">
        <v>207</v>
      </c>
      <c r="Q4" s="388"/>
    </row>
    <row r="5" spans="1:17" ht="18.5" x14ac:dyDescent="0.45">
      <c r="A5" s="88" t="s">
        <v>7</v>
      </c>
      <c r="B5" s="76" t="s">
        <v>118</v>
      </c>
      <c r="C5" s="65"/>
      <c r="D5" s="86" t="s">
        <v>7</v>
      </c>
      <c r="E5" s="104" t="s">
        <v>116</v>
      </c>
      <c r="F5" s="65"/>
      <c r="G5" s="409"/>
      <c r="H5" s="409"/>
      <c r="I5" s="410"/>
      <c r="J5" s="411"/>
      <c r="M5" s="90" t="s">
        <v>199</v>
      </c>
      <c r="N5" s="383" t="s">
        <v>43</v>
      </c>
      <c r="O5" s="384"/>
      <c r="P5" s="383" t="s">
        <v>189</v>
      </c>
      <c r="Q5" s="384"/>
    </row>
    <row r="6" spans="1:17" ht="20" customHeight="1" x14ac:dyDescent="0.45">
      <c r="A6" s="88" t="s">
        <v>112</v>
      </c>
      <c r="B6" s="76" t="s">
        <v>113</v>
      </c>
      <c r="C6" s="65"/>
      <c r="D6" s="90" t="s">
        <v>112</v>
      </c>
      <c r="E6" s="76" t="s">
        <v>113</v>
      </c>
      <c r="F6" s="65"/>
      <c r="G6" s="69" t="s">
        <v>195</v>
      </c>
      <c r="H6" s="69"/>
      <c r="I6" s="71" t="s">
        <v>193</v>
      </c>
      <c r="J6" s="72" t="s">
        <v>194</v>
      </c>
      <c r="M6" s="107" t="s">
        <v>110</v>
      </c>
      <c r="N6" s="414" t="s">
        <v>21</v>
      </c>
      <c r="O6" s="415"/>
      <c r="P6" s="414" t="s">
        <v>211</v>
      </c>
      <c r="Q6" s="415"/>
    </row>
    <row r="7" spans="1:17" ht="20.5" customHeight="1" x14ac:dyDescent="0.45">
      <c r="A7" s="88" t="s">
        <v>121</v>
      </c>
      <c r="B7" s="76" t="s">
        <v>176</v>
      </c>
      <c r="C7" s="65"/>
      <c r="D7" s="90" t="s">
        <v>10</v>
      </c>
      <c r="E7" s="76" t="s">
        <v>176</v>
      </c>
      <c r="F7" s="65"/>
      <c r="G7" s="379" t="s">
        <v>28</v>
      </c>
      <c r="H7" s="379"/>
      <c r="I7" s="71" t="s">
        <v>193</v>
      </c>
      <c r="J7" s="113" t="s">
        <v>203</v>
      </c>
      <c r="M7" s="107" t="s">
        <v>91</v>
      </c>
      <c r="N7" s="386" t="s">
        <v>92</v>
      </c>
      <c r="O7" s="386"/>
      <c r="P7" s="386" t="s">
        <v>92</v>
      </c>
      <c r="Q7" s="386"/>
    </row>
    <row r="8" spans="1:17" ht="23.5" x14ac:dyDescent="0.45">
      <c r="A8" s="90" t="s">
        <v>12</v>
      </c>
      <c r="B8" s="76" t="s">
        <v>181</v>
      </c>
      <c r="C8" s="65"/>
      <c r="D8" s="90" t="s">
        <v>12</v>
      </c>
      <c r="E8" s="76" t="s">
        <v>180</v>
      </c>
      <c r="F8" s="65"/>
      <c r="G8" s="69" t="s">
        <v>29</v>
      </c>
      <c r="H8" s="69"/>
      <c r="I8" s="71" t="s">
        <v>193</v>
      </c>
      <c r="J8" s="71" t="s">
        <v>193</v>
      </c>
    </row>
    <row r="9" spans="1:17" ht="23.5" x14ac:dyDescent="0.45">
      <c r="A9" s="90" t="s">
        <v>117</v>
      </c>
      <c r="B9" s="74">
        <v>1000000000</v>
      </c>
      <c r="C9" s="65"/>
      <c r="D9" s="86" t="s">
        <v>117</v>
      </c>
      <c r="E9" s="74">
        <v>1000000000</v>
      </c>
      <c r="F9" s="65"/>
      <c r="G9" s="368" t="s">
        <v>213</v>
      </c>
      <c r="H9" s="369"/>
      <c r="I9" s="71" t="s">
        <v>193</v>
      </c>
      <c r="J9" s="71" t="s">
        <v>193</v>
      </c>
      <c r="M9" s="507" t="s">
        <v>110</v>
      </c>
      <c r="N9" s="507" t="s">
        <v>182</v>
      </c>
      <c r="O9" s="507"/>
      <c r="P9" s="507" t="s">
        <v>21</v>
      </c>
      <c r="Q9" s="507"/>
    </row>
    <row r="10" spans="1:17" ht="18.5" customHeight="1" x14ac:dyDescent="0.45">
      <c r="A10" s="65"/>
      <c r="B10" s="65"/>
      <c r="C10" s="65"/>
      <c r="D10" s="65"/>
      <c r="E10" s="65"/>
      <c r="F10" s="65"/>
      <c r="M10" s="507"/>
      <c r="N10" s="508" t="s">
        <v>218</v>
      </c>
      <c r="O10" s="508"/>
      <c r="P10" s="509" t="s">
        <v>219</v>
      </c>
      <c r="Q10" s="509"/>
    </row>
    <row r="11" spans="1:17" ht="18.5" x14ac:dyDescent="0.45">
      <c r="A11" s="421" t="s">
        <v>119</v>
      </c>
      <c r="B11" s="421"/>
      <c r="C11" s="421"/>
      <c r="D11" s="421"/>
      <c r="E11" s="421"/>
      <c r="F11" s="65"/>
      <c r="G11" s="65"/>
      <c r="H11" s="65"/>
      <c r="I11" s="65"/>
      <c r="M11" s="507"/>
      <c r="N11" s="508"/>
      <c r="O11" s="508"/>
      <c r="P11" s="509"/>
      <c r="Q11" s="509"/>
    </row>
    <row r="12" spans="1:17" ht="18.5" x14ac:dyDescent="0.45">
      <c r="A12" s="92"/>
      <c r="B12" s="381" t="s">
        <v>114</v>
      </c>
      <c r="C12" s="381"/>
      <c r="D12" s="506" t="s">
        <v>178</v>
      </c>
      <c r="E12" s="506"/>
      <c r="F12" s="93"/>
      <c r="G12" s="65"/>
      <c r="H12" s="65"/>
      <c r="I12" s="65"/>
      <c r="M12" s="507"/>
      <c r="N12" s="508"/>
      <c r="O12" s="508"/>
      <c r="P12" s="509"/>
      <c r="Q12" s="509"/>
    </row>
    <row r="13" spans="1:17" ht="18.5" x14ac:dyDescent="0.45">
      <c r="A13" s="90" t="s">
        <v>150</v>
      </c>
      <c r="B13" s="401">
        <f>'Premi H+ 500 mio'!N45*'Heritage+ vs Manu Prime'!B9/1000</f>
        <v>76820000</v>
      </c>
      <c r="C13" s="401"/>
      <c r="D13" s="401">
        <v>159810000</v>
      </c>
      <c r="E13" s="401"/>
      <c r="F13" s="65"/>
      <c r="G13" s="65"/>
      <c r="H13" s="65"/>
      <c r="I13" s="65"/>
      <c r="M13" s="507"/>
      <c r="N13" s="508"/>
      <c r="O13" s="508"/>
      <c r="P13" s="509"/>
      <c r="Q13" s="509"/>
    </row>
    <row r="14" spans="1:17" ht="18.5" x14ac:dyDescent="0.45">
      <c r="A14" s="90" t="s">
        <v>120</v>
      </c>
      <c r="B14" s="407">
        <f>B13*5</f>
        <v>384100000</v>
      </c>
      <c r="C14" s="407"/>
      <c r="D14" s="402">
        <f>D13*5</f>
        <v>799050000</v>
      </c>
      <c r="E14" s="403"/>
      <c r="F14" s="91"/>
      <c r="G14" s="102"/>
      <c r="H14" s="65"/>
      <c r="I14" s="65"/>
      <c r="M14" s="507"/>
      <c r="N14" s="508"/>
      <c r="O14" s="508"/>
      <c r="P14" s="509"/>
      <c r="Q14" s="509"/>
    </row>
    <row r="15" spans="1:17" ht="18.5" x14ac:dyDescent="0.45">
      <c r="A15" s="65"/>
      <c r="B15" s="65"/>
      <c r="C15" s="65"/>
      <c r="D15" s="65"/>
      <c r="E15" s="65"/>
      <c r="F15" s="65"/>
      <c r="G15" s="65"/>
      <c r="H15" s="65"/>
      <c r="I15" s="65"/>
      <c r="M15" s="507"/>
      <c r="N15" s="508"/>
      <c r="O15" s="508"/>
      <c r="P15" s="509"/>
      <c r="Q15" s="509"/>
    </row>
    <row r="16" spans="1:17" ht="18.5" x14ac:dyDescent="0.45">
      <c r="A16" s="421" t="s">
        <v>153</v>
      </c>
      <c r="B16" s="421"/>
      <c r="C16" s="421"/>
      <c r="D16" s="421"/>
      <c r="E16" s="421"/>
      <c r="F16" s="421"/>
      <c r="G16" s="421"/>
      <c r="H16" s="421"/>
      <c r="I16" s="421"/>
      <c r="M16" s="507"/>
      <c r="N16" s="508"/>
      <c r="O16" s="508"/>
      <c r="P16" s="509"/>
      <c r="Q16" s="509"/>
    </row>
    <row r="17" spans="1:20" ht="55.5" customHeight="1" x14ac:dyDescent="0.45">
      <c r="A17" s="92" t="s">
        <v>155</v>
      </c>
      <c r="B17" s="389" t="s">
        <v>158</v>
      </c>
      <c r="C17" s="390"/>
      <c r="D17" s="391" t="s">
        <v>24</v>
      </c>
      <c r="E17" s="392"/>
      <c r="F17" s="398" t="s">
        <v>25</v>
      </c>
      <c r="G17" s="398"/>
      <c r="H17" s="397" t="s">
        <v>157</v>
      </c>
      <c r="I17" s="397"/>
    </row>
    <row r="18" spans="1:20" ht="34.5" customHeight="1" x14ac:dyDescent="0.45">
      <c r="A18" s="90"/>
      <c r="B18" s="94" t="s">
        <v>159</v>
      </c>
      <c r="C18" s="103" t="s">
        <v>178</v>
      </c>
      <c r="D18" s="94" t="s">
        <v>159</v>
      </c>
      <c r="E18" s="103" t="s">
        <v>178</v>
      </c>
      <c r="F18" s="94" t="s">
        <v>159</v>
      </c>
      <c r="G18" s="103" t="s">
        <v>178</v>
      </c>
      <c r="H18" s="94" t="s">
        <v>159</v>
      </c>
      <c r="I18" s="103" t="s">
        <v>178</v>
      </c>
    </row>
    <row r="19" spans="1:20" ht="19" thickBot="1" x14ac:dyDescent="0.5">
      <c r="A19" s="73">
        <v>1</v>
      </c>
      <c r="B19" s="78">
        <f>$B$13</f>
        <v>76820000</v>
      </c>
      <c r="C19" s="78">
        <f>$D$13</f>
        <v>159810000</v>
      </c>
      <c r="D19" s="78">
        <f>$B$9</f>
        <v>1000000000</v>
      </c>
      <c r="E19" s="78">
        <f>$E$9</f>
        <v>1000000000</v>
      </c>
      <c r="F19" s="79"/>
      <c r="G19" s="394" t="s">
        <v>13</v>
      </c>
      <c r="H19" s="79"/>
      <c r="I19" s="79"/>
    </row>
    <row r="20" spans="1:20" ht="14.5" customHeight="1" x14ac:dyDescent="0.45">
      <c r="A20" s="75">
        <v>2</v>
      </c>
      <c r="B20" s="78">
        <f t="shared" ref="B20:B23" si="0">$B$13</f>
        <v>76820000</v>
      </c>
      <c r="C20" s="78">
        <f t="shared" ref="C20:C23" si="1">$D$13</f>
        <v>159810000</v>
      </c>
      <c r="D20" s="78">
        <f t="shared" ref="D20:D23" si="2">$B$9</f>
        <v>1000000000</v>
      </c>
      <c r="E20" s="78">
        <f t="shared" ref="E20:E26" si="3">$E$9</f>
        <v>1000000000</v>
      </c>
      <c r="F20" s="79"/>
      <c r="G20" s="395"/>
      <c r="H20" s="79"/>
      <c r="I20" s="79"/>
      <c r="K20" s="510" t="s">
        <v>209</v>
      </c>
      <c r="L20" s="511"/>
      <c r="M20" s="511"/>
      <c r="N20" s="511"/>
      <c r="O20" s="511"/>
      <c r="P20" s="511"/>
      <c r="Q20" s="511"/>
      <c r="R20" s="511"/>
      <c r="S20" s="511"/>
      <c r="T20" s="512"/>
    </row>
    <row r="21" spans="1:20" ht="14.5" customHeight="1" x14ac:dyDescent="0.45">
      <c r="A21" s="75">
        <v>3</v>
      </c>
      <c r="B21" s="78">
        <f t="shared" si="0"/>
        <v>76820000</v>
      </c>
      <c r="C21" s="78">
        <f t="shared" si="1"/>
        <v>159810000</v>
      </c>
      <c r="D21" s="78">
        <f t="shared" si="2"/>
        <v>1000000000</v>
      </c>
      <c r="E21" s="78">
        <f t="shared" si="3"/>
        <v>1000000000</v>
      </c>
      <c r="F21" s="79"/>
      <c r="G21" s="395"/>
      <c r="H21" s="79"/>
      <c r="I21" s="79"/>
      <c r="K21" s="513"/>
      <c r="L21" s="514"/>
      <c r="M21" s="514"/>
      <c r="N21" s="514"/>
      <c r="O21" s="514"/>
      <c r="P21" s="514"/>
      <c r="Q21" s="514"/>
      <c r="R21" s="514"/>
      <c r="S21" s="514"/>
      <c r="T21" s="515"/>
    </row>
    <row r="22" spans="1:20" ht="14.5" customHeight="1" x14ac:dyDescent="0.45">
      <c r="A22" s="75">
        <v>4</v>
      </c>
      <c r="B22" s="78">
        <f t="shared" si="0"/>
        <v>76820000</v>
      </c>
      <c r="C22" s="78">
        <f t="shared" si="1"/>
        <v>159810000</v>
      </c>
      <c r="D22" s="78">
        <f t="shared" si="2"/>
        <v>1000000000</v>
      </c>
      <c r="E22" s="78">
        <f t="shared" si="3"/>
        <v>1000000000</v>
      </c>
      <c r="F22" s="79"/>
      <c r="G22" s="395"/>
      <c r="H22" s="79"/>
      <c r="I22" s="79"/>
      <c r="K22" s="513"/>
      <c r="L22" s="514"/>
      <c r="M22" s="514"/>
      <c r="N22" s="514"/>
      <c r="O22" s="514"/>
      <c r="P22" s="514"/>
      <c r="Q22" s="514"/>
      <c r="R22" s="514"/>
      <c r="S22" s="514"/>
      <c r="T22" s="515"/>
    </row>
    <row r="23" spans="1:20" ht="14.5" customHeight="1" x14ac:dyDescent="0.45">
      <c r="A23" s="75">
        <v>5</v>
      </c>
      <c r="B23" s="78">
        <f t="shared" si="0"/>
        <v>76820000</v>
      </c>
      <c r="C23" s="78">
        <f t="shared" si="1"/>
        <v>159810000</v>
      </c>
      <c r="D23" s="78">
        <f t="shared" si="2"/>
        <v>1000000000</v>
      </c>
      <c r="E23" s="78">
        <f t="shared" si="3"/>
        <v>1000000000</v>
      </c>
      <c r="F23" s="79"/>
      <c r="G23" s="395"/>
      <c r="H23" s="79"/>
      <c r="I23" s="79"/>
      <c r="K23" s="513"/>
      <c r="L23" s="514"/>
      <c r="M23" s="514"/>
      <c r="N23" s="514"/>
      <c r="O23" s="514"/>
      <c r="P23" s="514"/>
      <c r="Q23" s="514"/>
      <c r="R23" s="514"/>
      <c r="S23" s="514"/>
      <c r="T23" s="515"/>
    </row>
    <row r="24" spans="1:20" ht="14.5" customHeight="1" x14ac:dyDescent="0.45">
      <c r="A24" s="75">
        <v>6</v>
      </c>
      <c r="B24" s="78"/>
      <c r="C24" s="78"/>
      <c r="D24" s="81">
        <f>125%*B9</f>
        <v>1250000000</v>
      </c>
      <c r="E24" s="78">
        <f t="shared" si="3"/>
        <v>1000000000</v>
      </c>
      <c r="F24" s="79"/>
      <c r="G24" s="395"/>
      <c r="H24" s="79"/>
      <c r="I24" s="79"/>
      <c r="K24" s="513"/>
      <c r="L24" s="514"/>
      <c r="M24" s="514"/>
      <c r="N24" s="514"/>
      <c r="O24" s="514"/>
      <c r="P24" s="514"/>
      <c r="Q24" s="514"/>
      <c r="R24" s="514"/>
      <c r="S24" s="514"/>
      <c r="T24" s="515"/>
    </row>
    <row r="25" spans="1:20" ht="14.5" customHeight="1" x14ac:dyDescent="0.45">
      <c r="A25" s="75">
        <v>7</v>
      </c>
      <c r="B25" s="78"/>
      <c r="C25" s="78"/>
      <c r="D25" s="81">
        <f>D24</f>
        <v>1250000000</v>
      </c>
      <c r="E25" s="78">
        <f t="shared" si="3"/>
        <v>1000000000</v>
      </c>
      <c r="F25" s="79"/>
      <c r="G25" s="395"/>
      <c r="H25" s="79"/>
      <c r="I25" s="79"/>
      <c r="K25" s="513"/>
      <c r="L25" s="514"/>
      <c r="M25" s="514"/>
      <c r="N25" s="514"/>
      <c r="O25" s="514"/>
      <c r="P25" s="514"/>
      <c r="Q25" s="514"/>
      <c r="R25" s="514"/>
      <c r="S25" s="514"/>
      <c r="T25" s="515"/>
    </row>
    <row r="26" spans="1:20" ht="14.5" customHeight="1" x14ac:dyDescent="0.45">
      <c r="A26" s="75">
        <v>8</v>
      </c>
      <c r="B26" s="78"/>
      <c r="C26" s="78"/>
      <c r="D26" s="81">
        <f>D24</f>
        <v>1250000000</v>
      </c>
      <c r="E26" s="78">
        <f t="shared" si="3"/>
        <v>1000000000</v>
      </c>
      <c r="F26" s="79"/>
      <c r="G26" s="395"/>
      <c r="H26" s="79"/>
      <c r="I26" s="79"/>
      <c r="K26" s="513"/>
      <c r="L26" s="514"/>
      <c r="M26" s="514"/>
      <c r="N26" s="514"/>
      <c r="O26" s="514"/>
      <c r="P26" s="514"/>
      <c r="Q26" s="514"/>
      <c r="R26" s="514"/>
      <c r="S26" s="514"/>
      <c r="T26" s="515"/>
    </row>
    <row r="27" spans="1:20" ht="14.5" customHeight="1" x14ac:dyDescent="0.45">
      <c r="A27" s="75">
        <v>9</v>
      </c>
      <c r="B27" s="78"/>
      <c r="C27" s="78"/>
      <c r="D27" s="81">
        <f>D24</f>
        <v>1250000000</v>
      </c>
      <c r="E27" s="78">
        <f>E9</f>
        <v>1000000000</v>
      </c>
      <c r="F27" s="79"/>
      <c r="G27" s="395"/>
      <c r="H27" s="79"/>
      <c r="I27" s="79"/>
      <c r="J27" s="28"/>
      <c r="K27" s="513"/>
      <c r="L27" s="514"/>
      <c r="M27" s="514"/>
      <c r="N27" s="514"/>
      <c r="O27" s="514"/>
      <c r="P27" s="514"/>
      <c r="Q27" s="514"/>
      <c r="R27" s="514"/>
      <c r="S27" s="514"/>
      <c r="T27" s="515"/>
    </row>
    <row r="28" spans="1:20" ht="14.5" customHeight="1" x14ac:dyDescent="0.45">
      <c r="A28" s="75">
        <v>10</v>
      </c>
      <c r="B28" s="78"/>
      <c r="C28" s="78"/>
      <c r="D28" s="81">
        <f>D24</f>
        <v>1250000000</v>
      </c>
      <c r="E28" s="82">
        <f>E9*150%</f>
        <v>1500000000</v>
      </c>
      <c r="F28" s="79"/>
      <c r="G28" s="395"/>
      <c r="H28" s="79"/>
      <c r="I28" s="79"/>
      <c r="J28" s="28"/>
      <c r="K28" s="513"/>
      <c r="L28" s="514"/>
      <c r="M28" s="514"/>
      <c r="N28" s="514"/>
      <c r="O28" s="514"/>
      <c r="P28" s="514"/>
      <c r="Q28" s="514"/>
      <c r="R28" s="514"/>
      <c r="S28" s="514"/>
      <c r="T28" s="515"/>
    </row>
    <row r="29" spans="1:20" ht="14.5" customHeight="1" x14ac:dyDescent="0.45">
      <c r="A29" s="75">
        <v>11</v>
      </c>
      <c r="B29" s="80"/>
      <c r="C29" s="80"/>
      <c r="D29" s="81">
        <f>D27</f>
        <v>1250000000</v>
      </c>
      <c r="E29" s="78">
        <f>E28</f>
        <v>1500000000</v>
      </c>
      <c r="F29" s="79"/>
      <c r="G29" s="395"/>
      <c r="H29" s="79"/>
      <c r="I29" s="79"/>
      <c r="J29" s="28"/>
      <c r="K29" s="513"/>
      <c r="L29" s="514"/>
      <c r="M29" s="514"/>
      <c r="N29" s="514"/>
      <c r="O29" s="514"/>
      <c r="P29" s="514"/>
      <c r="Q29" s="514"/>
      <c r="R29" s="514"/>
      <c r="S29" s="514"/>
      <c r="T29" s="515"/>
    </row>
    <row r="30" spans="1:20" ht="14.5" customHeight="1" x14ac:dyDescent="0.45">
      <c r="A30" s="75" t="s">
        <v>160</v>
      </c>
      <c r="B30" s="80"/>
      <c r="C30" s="80"/>
      <c r="D30" s="81" t="s">
        <v>160</v>
      </c>
      <c r="E30" s="78"/>
      <c r="F30" s="78"/>
      <c r="G30" s="395"/>
      <c r="H30" s="79"/>
      <c r="I30" s="79"/>
      <c r="J30" s="28"/>
      <c r="K30" s="513"/>
      <c r="L30" s="514"/>
      <c r="M30" s="514"/>
      <c r="N30" s="514"/>
      <c r="O30" s="514"/>
      <c r="P30" s="514"/>
      <c r="Q30" s="514"/>
      <c r="R30" s="514"/>
      <c r="S30" s="514"/>
      <c r="T30" s="515"/>
    </row>
    <row r="31" spans="1:20" ht="14.5" customHeight="1" x14ac:dyDescent="0.45">
      <c r="A31" s="75" t="s">
        <v>160</v>
      </c>
      <c r="B31" s="80"/>
      <c r="C31" s="80"/>
      <c r="D31" s="81" t="s">
        <v>160</v>
      </c>
      <c r="E31" s="78"/>
      <c r="F31" s="79"/>
      <c r="G31" s="395"/>
      <c r="H31" s="79"/>
      <c r="I31" s="79"/>
      <c r="J31" s="28"/>
      <c r="K31" s="513"/>
      <c r="L31" s="514"/>
      <c r="M31" s="514"/>
      <c r="N31" s="514"/>
      <c r="O31" s="514"/>
      <c r="P31" s="514"/>
      <c r="Q31" s="514"/>
      <c r="R31" s="514"/>
      <c r="S31" s="514"/>
      <c r="T31" s="515"/>
    </row>
    <row r="32" spans="1:20" ht="14.5" customHeight="1" x14ac:dyDescent="0.45">
      <c r="A32" s="75">
        <v>16</v>
      </c>
      <c r="B32" s="80"/>
      <c r="C32" s="80"/>
      <c r="D32" s="81">
        <f>150%*B9</f>
        <v>1500000000</v>
      </c>
      <c r="E32" s="78">
        <f>E29</f>
        <v>1500000000</v>
      </c>
      <c r="F32" s="83">
        <f>D32+B9</f>
        <v>2500000000</v>
      </c>
      <c r="G32" s="395"/>
      <c r="H32" s="79"/>
      <c r="I32" s="79"/>
      <c r="J32" s="28"/>
      <c r="K32" s="513"/>
      <c r="L32" s="514"/>
      <c r="M32" s="514"/>
      <c r="N32" s="514"/>
      <c r="O32" s="514"/>
      <c r="P32" s="514"/>
      <c r="Q32" s="514"/>
      <c r="R32" s="514"/>
      <c r="S32" s="514"/>
      <c r="T32" s="515"/>
    </row>
    <row r="33" spans="1:20" ht="14.5" customHeight="1" x14ac:dyDescent="0.45">
      <c r="A33" s="75" t="s">
        <v>160</v>
      </c>
      <c r="B33" s="80"/>
      <c r="C33" s="80"/>
      <c r="D33" s="80" t="s">
        <v>160</v>
      </c>
      <c r="E33" s="80" t="s">
        <v>160</v>
      </c>
      <c r="F33" s="79"/>
      <c r="G33" s="395"/>
      <c r="H33" s="79"/>
      <c r="I33" s="79"/>
      <c r="J33" s="28"/>
      <c r="K33" s="513"/>
      <c r="L33" s="514"/>
      <c r="M33" s="514"/>
      <c r="N33" s="514"/>
      <c r="O33" s="514"/>
      <c r="P33" s="514"/>
      <c r="Q33" s="514"/>
      <c r="R33" s="514"/>
      <c r="S33" s="514"/>
      <c r="T33" s="515"/>
    </row>
    <row r="34" spans="1:20" ht="14.5" customHeight="1" x14ac:dyDescent="0.45">
      <c r="A34" s="75" t="s">
        <v>160</v>
      </c>
      <c r="B34" s="79"/>
      <c r="C34" s="79"/>
      <c r="D34" s="80" t="s">
        <v>160</v>
      </c>
      <c r="E34" s="80" t="s">
        <v>160</v>
      </c>
      <c r="F34" s="79"/>
      <c r="G34" s="395"/>
      <c r="H34" s="79"/>
      <c r="I34" s="79"/>
      <c r="J34" s="28"/>
      <c r="K34" s="513"/>
      <c r="L34" s="514"/>
      <c r="M34" s="514"/>
      <c r="N34" s="514"/>
      <c r="O34" s="514"/>
      <c r="P34" s="514"/>
      <c r="Q34" s="514"/>
      <c r="R34" s="514"/>
      <c r="S34" s="514"/>
      <c r="T34" s="515"/>
    </row>
    <row r="35" spans="1:20" ht="14.5" customHeight="1" x14ac:dyDescent="0.45">
      <c r="A35" s="75">
        <v>21</v>
      </c>
      <c r="B35" s="79"/>
      <c r="C35" s="79"/>
      <c r="D35" s="83">
        <f>175%*B9</f>
        <v>1750000000</v>
      </c>
      <c r="E35" s="81">
        <f>E32</f>
        <v>1500000000</v>
      </c>
      <c r="F35" s="79"/>
      <c r="G35" s="395"/>
      <c r="H35" s="79"/>
      <c r="I35" s="79"/>
      <c r="K35" s="513"/>
      <c r="L35" s="514"/>
      <c r="M35" s="514"/>
      <c r="N35" s="514"/>
      <c r="O35" s="514"/>
      <c r="P35" s="514"/>
      <c r="Q35" s="514"/>
      <c r="R35" s="514"/>
      <c r="S35" s="514"/>
      <c r="T35" s="515"/>
    </row>
    <row r="36" spans="1:20" ht="14.5" customHeight="1" x14ac:dyDescent="0.45">
      <c r="A36" s="75" t="s">
        <v>160</v>
      </c>
      <c r="B36" s="79"/>
      <c r="C36" s="79"/>
      <c r="D36" s="81" t="s">
        <v>160</v>
      </c>
      <c r="E36" s="80" t="s">
        <v>160</v>
      </c>
      <c r="F36" s="79"/>
      <c r="G36" s="395"/>
      <c r="H36" s="79"/>
      <c r="I36" s="79"/>
      <c r="K36" s="513"/>
      <c r="L36" s="514"/>
      <c r="M36" s="514"/>
      <c r="N36" s="514"/>
      <c r="O36" s="514"/>
      <c r="P36" s="514"/>
      <c r="Q36" s="514"/>
      <c r="R36" s="514"/>
      <c r="S36" s="514"/>
      <c r="T36" s="515"/>
    </row>
    <row r="37" spans="1:20" ht="14.5" customHeight="1" x14ac:dyDescent="0.45">
      <c r="A37" s="75" t="s">
        <v>160</v>
      </c>
      <c r="B37" s="79"/>
      <c r="C37" s="79"/>
      <c r="D37" s="80" t="s">
        <v>160</v>
      </c>
      <c r="E37" s="80" t="s">
        <v>160</v>
      </c>
      <c r="F37" s="79"/>
      <c r="G37" s="395"/>
      <c r="H37" s="79"/>
      <c r="I37" s="79"/>
      <c r="K37" s="513"/>
      <c r="L37" s="514"/>
      <c r="M37" s="514"/>
      <c r="N37" s="514"/>
      <c r="O37" s="514"/>
      <c r="P37" s="514"/>
      <c r="Q37" s="514"/>
      <c r="R37" s="514"/>
      <c r="S37" s="514"/>
      <c r="T37" s="515"/>
    </row>
    <row r="38" spans="1:20" ht="14.5" customHeight="1" x14ac:dyDescent="0.45">
      <c r="A38" s="75">
        <v>26</v>
      </c>
      <c r="B38" s="79"/>
      <c r="C38" s="79"/>
      <c r="D38" s="81">
        <f>200%*B9</f>
        <v>2000000000</v>
      </c>
      <c r="E38" s="81">
        <f>200%*E9</f>
        <v>2000000000</v>
      </c>
      <c r="F38" s="79"/>
      <c r="G38" s="395"/>
      <c r="H38" s="79"/>
      <c r="I38" s="79"/>
      <c r="K38" s="513"/>
      <c r="L38" s="514"/>
      <c r="M38" s="514"/>
      <c r="N38" s="514"/>
      <c r="O38" s="514"/>
      <c r="P38" s="514"/>
      <c r="Q38" s="514"/>
      <c r="R38" s="514"/>
      <c r="S38" s="514"/>
      <c r="T38" s="515"/>
    </row>
    <row r="39" spans="1:20" ht="14.5" customHeight="1" x14ac:dyDescent="0.35">
      <c r="A39" s="77" t="s">
        <v>160</v>
      </c>
      <c r="B39" s="79"/>
      <c r="C39" s="79"/>
      <c r="D39" s="81" t="s">
        <v>160</v>
      </c>
      <c r="E39" s="81" t="s">
        <v>160</v>
      </c>
      <c r="F39" s="79"/>
      <c r="G39" s="395"/>
      <c r="H39" s="79"/>
      <c r="I39" s="79"/>
      <c r="K39" s="513"/>
      <c r="L39" s="514"/>
      <c r="M39" s="514"/>
      <c r="N39" s="514"/>
      <c r="O39" s="514"/>
      <c r="P39" s="514"/>
      <c r="Q39" s="514"/>
      <c r="R39" s="514"/>
      <c r="S39" s="514"/>
      <c r="T39" s="515"/>
    </row>
    <row r="40" spans="1:20" ht="14.5" customHeight="1" x14ac:dyDescent="0.35">
      <c r="A40" s="77" t="s">
        <v>160</v>
      </c>
      <c r="B40" s="79"/>
      <c r="C40" s="79"/>
      <c r="D40" s="81" t="s">
        <v>160</v>
      </c>
      <c r="E40" s="81" t="s">
        <v>160</v>
      </c>
      <c r="F40" s="79"/>
      <c r="G40" s="395"/>
      <c r="H40" s="79"/>
      <c r="I40" s="79"/>
      <c r="K40" s="513"/>
      <c r="L40" s="514"/>
      <c r="M40" s="514"/>
      <c r="N40" s="514"/>
      <c r="O40" s="514"/>
      <c r="P40" s="514"/>
      <c r="Q40" s="514"/>
      <c r="R40" s="514"/>
      <c r="S40" s="514"/>
      <c r="T40" s="515"/>
    </row>
    <row r="41" spans="1:20" ht="14.5" customHeight="1" x14ac:dyDescent="0.35">
      <c r="A41" s="77">
        <v>59</v>
      </c>
      <c r="B41" s="79"/>
      <c r="C41" s="79"/>
      <c r="D41" s="78">
        <f>D38</f>
        <v>2000000000</v>
      </c>
      <c r="E41" s="79"/>
      <c r="F41" s="79"/>
      <c r="G41" s="395"/>
      <c r="H41" s="83">
        <f>D41</f>
        <v>2000000000</v>
      </c>
      <c r="I41" s="79"/>
      <c r="K41" s="513"/>
      <c r="L41" s="514"/>
      <c r="M41" s="514"/>
      <c r="N41" s="514"/>
      <c r="O41" s="514"/>
      <c r="P41" s="514"/>
      <c r="Q41" s="514"/>
      <c r="R41" s="514"/>
      <c r="S41" s="514"/>
      <c r="T41" s="515"/>
    </row>
    <row r="42" spans="1:20" ht="15" customHeight="1" x14ac:dyDescent="0.35">
      <c r="A42" s="77">
        <v>60</v>
      </c>
      <c r="B42" s="79"/>
      <c r="C42" s="79"/>
      <c r="D42" s="79"/>
      <c r="E42" s="78">
        <f>E38</f>
        <v>2000000000</v>
      </c>
      <c r="F42" s="79"/>
      <c r="G42" s="396"/>
      <c r="H42" s="79"/>
      <c r="I42" s="78">
        <f>E42</f>
        <v>2000000000</v>
      </c>
      <c r="K42" s="513"/>
      <c r="L42" s="514"/>
      <c r="M42" s="514"/>
      <c r="N42" s="514"/>
      <c r="O42" s="514"/>
      <c r="P42" s="514"/>
      <c r="Q42" s="514"/>
      <c r="R42" s="514"/>
      <c r="S42" s="514"/>
      <c r="T42" s="515"/>
    </row>
    <row r="43" spans="1:20" x14ac:dyDescent="0.35">
      <c r="K43" s="513"/>
      <c r="L43" s="514"/>
      <c r="M43" s="514"/>
      <c r="N43" s="514"/>
      <c r="O43" s="514"/>
      <c r="P43" s="514"/>
      <c r="Q43" s="514"/>
      <c r="R43" s="514"/>
      <c r="S43" s="514"/>
      <c r="T43" s="515"/>
    </row>
    <row r="44" spans="1:20" x14ac:dyDescent="0.35">
      <c r="K44" s="513"/>
      <c r="L44" s="514"/>
      <c r="M44" s="514"/>
      <c r="N44" s="514"/>
      <c r="O44" s="514"/>
      <c r="P44" s="514"/>
      <c r="Q44" s="514"/>
      <c r="R44" s="514"/>
      <c r="S44" s="514"/>
      <c r="T44" s="515"/>
    </row>
    <row r="45" spans="1:20" ht="15" thickBot="1" x14ac:dyDescent="0.4">
      <c r="K45" s="516"/>
      <c r="L45" s="517"/>
      <c r="M45" s="517"/>
      <c r="N45" s="517"/>
      <c r="O45" s="517"/>
      <c r="P45" s="517"/>
      <c r="Q45" s="517"/>
      <c r="R45" s="517"/>
      <c r="S45" s="517"/>
      <c r="T45" s="518"/>
    </row>
    <row r="46" spans="1:20" x14ac:dyDescent="0.35">
      <c r="J46" s="28"/>
    </row>
    <row r="47" spans="1:20" x14ac:dyDescent="0.35">
      <c r="J47" s="51"/>
    </row>
  </sheetData>
  <mergeCells count="43">
    <mergeCell ref="P10:Q16"/>
    <mergeCell ref="M9:M16"/>
    <mergeCell ref="K20:T45"/>
    <mergeCell ref="G19:G42"/>
    <mergeCell ref="P9:Q9"/>
    <mergeCell ref="B17:C17"/>
    <mergeCell ref="D17:E17"/>
    <mergeCell ref="F17:G17"/>
    <mergeCell ref="H17:I17"/>
    <mergeCell ref="N9:O9"/>
    <mergeCell ref="B13:C13"/>
    <mergeCell ref="D13:E13"/>
    <mergeCell ref="B14:C14"/>
    <mergeCell ref="D14:E14"/>
    <mergeCell ref="A16:I16"/>
    <mergeCell ref="N10:O16"/>
    <mergeCell ref="A1:E1"/>
    <mergeCell ref="A2:B2"/>
    <mergeCell ref="D2:E2"/>
    <mergeCell ref="A11:E11"/>
    <mergeCell ref="B12:C12"/>
    <mergeCell ref="D12:E12"/>
    <mergeCell ref="G2:H2"/>
    <mergeCell ref="G3:H3"/>
    <mergeCell ref="G4:H5"/>
    <mergeCell ref="I4:I5"/>
    <mergeCell ref="J4:J5"/>
    <mergeCell ref="G7:H7"/>
    <mergeCell ref="G9:H9"/>
    <mergeCell ref="M1:Q1"/>
    <mergeCell ref="N2:O2"/>
    <mergeCell ref="P2:Q2"/>
    <mergeCell ref="N3:O3"/>
    <mergeCell ref="P3:Q3"/>
    <mergeCell ref="N4:O4"/>
    <mergeCell ref="P4:Q4"/>
    <mergeCell ref="N5:O5"/>
    <mergeCell ref="P5:Q5"/>
    <mergeCell ref="N6:O6"/>
    <mergeCell ref="P6:Q6"/>
    <mergeCell ref="N7:O7"/>
    <mergeCell ref="P7:Q7"/>
    <mergeCell ref="G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7F9BE-FF96-4D8D-9160-3FE51B17DE79}">
  <dimension ref="A1:T49"/>
  <sheetViews>
    <sheetView topLeftCell="A15" zoomScale="75" zoomScaleNormal="70" workbookViewId="0">
      <selection activeCell="K48" sqref="K48"/>
    </sheetView>
  </sheetViews>
  <sheetFormatPr defaultRowHeight="14.5" x14ac:dyDescent="0.35"/>
  <cols>
    <col min="1" max="1" width="19.81640625" customWidth="1"/>
    <col min="2" max="2" width="23.26953125" bestFit="1" customWidth="1"/>
    <col min="3" max="3" width="21.1796875" bestFit="1" customWidth="1"/>
    <col min="4" max="4" width="24" bestFit="1" customWidth="1"/>
    <col min="5" max="6" width="23.26953125" bestFit="1" customWidth="1"/>
    <col min="7" max="7" width="18" bestFit="1" customWidth="1"/>
    <col min="8" max="9" width="23.26953125" bestFit="1" customWidth="1"/>
    <col min="10" max="10" width="22.81640625" customWidth="1"/>
    <col min="11" max="11" width="10.1796875" bestFit="1" customWidth="1"/>
    <col min="12" max="12" width="2.36328125" customWidth="1"/>
    <col min="13" max="13" width="24.81640625" customWidth="1"/>
    <col min="14" max="14" width="13.54296875" customWidth="1"/>
    <col min="15" max="15" width="17.1796875" customWidth="1"/>
    <col min="16" max="16" width="8.7265625" customWidth="1"/>
    <col min="17" max="17" width="20.08984375" customWidth="1"/>
  </cols>
  <sheetData>
    <row r="1" spans="1:17" s="112" customFormat="1" ht="45" customHeight="1" x14ac:dyDescent="0.35">
      <c r="A1" s="416" t="s">
        <v>170</v>
      </c>
      <c r="B1" s="416"/>
      <c r="C1" s="416"/>
      <c r="D1" s="416"/>
      <c r="E1" s="416"/>
      <c r="G1" s="380" t="s">
        <v>190</v>
      </c>
      <c r="H1" s="380"/>
      <c r="I1" s="380"/>
      <c r="J1" s="380"/>
      <c r="M1" s="380" t="s">
        <v>198</v>
      </c>
      <c r="N1" s="380"/>
      <c r="O1" s="380"/>
      <c r="P1" s="380"/>
      <c r="Q1" s="380"/>
    </row>
    <row r="2" spans="1:17" ht="18.5" x14ac:dyDescent="0.45">
      <c r="A2" s="417" t="s">
        <v>114</v>
      </c>
      <c r="B2" s="418"/>
      <c r="C2" s="65"/>
      <c r="D2" s="506" t="s">
        <v>262</v>
      </c>
      <c r="E2" s="506"/>
      <c r="F2" s="65"/>
      <c r="G2" s="408" t="s">
        <v>33</v>
      </c>
      <c r="H2" s="408"/>
      <c r="I2" s="99" t="s">
        <v>114</v>
      </c>
      <c r="J2" s="105" t="s">
        <v>262</v>
      </c>
      <c r="M2" s="90"/>
      <c r="N2" s="381" t="s">
        <v>114</v>
      </c>
      <c r="O2" s="381"/>
      <c r="P2" s="506" t="s">
        <v>262</v>
      </c>
      <c r="Q2" s="506"/>
    </row>
    <row r="3" spans="1:17" ht="23.5" x14ac:dyDescent="0.45">
      <c r="A3" s="86" t="s">
        <v>110</v>
      </c>
      <c r="B3" s="76" t="s">
        <v>266</v>
      </c>
      <c r="C3" s="65"/>
      <c r="D3" s="86" t="s">
        <v>110</v>
      </c>
      <c r="E3" s="76" t="s">
        <v>21</v>
      </c>
      <c r="F3" s="65"/>
      <c r="G3" s="368" t="s">
        <v>191</v>
      </c>
      <c r="H3" s="369"/>
      <c r="I3" s="71" t="s">
        <v>193</v>
      </c>
      <c r="J3" s="71" t="s">
        <v>193</v>
      </c>
      <c r="M3" s="106" t="s">
        <v>111</v>
      </c>
      <c r="N3" s="386" t="s">
        <v>201</v>
      </c>
      <c r="O3" s="386"/>
      <c r="P3" s="386" t="s">
        <v>241</v>
      </c>
      <c r="Q3" s="386"/>
    </row>
    <row r="4" spans="1:17" ht="18.5" x14ac:dyDescent="0.45">
      <c r="A4" s="86" t="s">
        <v>111</v>
      </c>
      <c r="B4" s="76" t="s">
        <v>263</v>
      </c>
      <c r="C4" s="65"/>
      <c r="D4" s="86" t="s">
        <v>111</v>
      </c>
      <c r="E4" s="87" t="s">
        <v>263</v>
      </c>
      <c r="F4" s="65"/>
      <c r="G4" s="409" t="s">
        <v>192</v>
      </c>
      <c r="H4" s="409"/>
      <c r="I4" s="410" t="s">
        <v>193</v>
      </c>
      <c r="J4" s="411" t="s">
        <v>194</v>
      </c>
      <c r="M4" s="90" t="s">
        <v>270</v>
      </c>
      <c r="N4" s="383" t="s">
        <v>202</v>
      </c>
      <c r="O4" s="384"/>
      <c r="P4" s="387" t="s">
        <v>269</v>
      </c>
      <c r="Q4" s="388"/>
    </row>
    <row r="5" spans="1:17" ht="18.5" x14ac:dyDescent="0.45">
      <c r="A5" s="88" t="s">
        <v>7</v>
      </c>
      <c r="B5" s="76" t="s">
        <v>118</v>
      </c>
      <c r="C5" s="65"/>
      <c r="D5" s="86" t="s">
        <v>7</v>
      </c>
      <c r="E5" s="151" t="s">
        <v>176</v>
      </c>
      <c r="F5" s="65"/>
      <c r="G5" s="409"/>
      <c r="H5" s="409"/>
      <c r="I5" s="410"/>
      <c r="J5" s="411"/>
      <c r="M5" s="90" t="s">
        <v>199</v>
      </c>
      <c r="N5" s="383" t="s">
        <v>43</v>
      </c>
      <c r="O5" s="384"/>
      <c r="P5" s="383" t="s">
        <v>228</v>
      </c>
      <c r="Q5" s="384"/>
    </row>
    <row r="6" spans="1:17" ht="20" customHeight="1" x14ac:dyDescent="0.45">
      <c r="A6" s="88" t="s">
        <v>112</v>
      </c>
      <c r="B6" s="76" t="s">
        <v>113</v>
      </c>
      <c r="C6" s="65"/>
      <c r="D6" s="90" t="s">
        <v>112</v>
      </c>
      <c r="E6" s="76" t="s">
        <v>113</v>
      </c>
      <c r="F6" s="65"/>
      <c r="G6" s="69" t="s">
        <v>195</v>
      </c>
      <c r="H6" s="69"/>
      <c r="I6" s="71" t="s">
        <v>193</v>
      </c>
      <c r="J6" s="72" t="s">
        <v>194</v>
      </c>
      <c r="M6" s="107" t="s">
        <v>110</v>
      </c>
      <c r="N6" s="414" t="s">
        <v>21</v>
      </c>
      <c r="O6" s="415"/>
      <c r="P6" s="414" t="s">
        <v>21</v>
      </c>
      <c r="Q6" s="415"/>
    </row>
    <row r="7" spans="1:17" ht="20.5" customHeight="1" x14ac:dyDescent="0.45">
      <c r="A7" s="88" t="s">
        <v>121</v>
      </c>
      <c r="B7" s="76" t="s">
        <v>264</v>
      </c>
      <c r="C7" s="65"/>
      <c r="D7" s="90" t="s">
        <v>10</v>
      </c>
      <c r="E7" s="76" t="s">
        <v>264</v>
      </c>
      <c r="F7" s="65"/>
      <c r="G7" s="379" t="s">
        <v>28</v>
      </c>
      <c r="H7" s="379"/>
      <c r="I7" s="71" t="s">
        <v>193</v>
      </c>
      <c r="J7" s="113" t="s">
        <v>203</v>
      </c>
      <c r="M7" s="107" t="s">
        <v>91</v>
      </c>
      <c r="N7" s="386" t="s">
        <v>92</v>
      </c>
      <c r="O7" s="386"/>
      <c r="P7" s="386" t="s">
        <v>93</v>
      </c>
      <c r="Q7" s="386"/>
    </row>
    <row r="8" spans="1:17" ht="23.5" x14ac:dyDescent="0.45">
      <c r="A8" s="90" t="s">
        <v>12</v>
      </c>
      <c r="B8" s="76" t="s">
        <v>181</v>
      </c>
      <c r="C8" s="65"/>
      <c r="D8" s="90" t="s">
        <v>12</v>
      </c>
      <c r="E8" s="76" t="s">
        <v>265</v>
      </c>
      <c r="F8" s="65"/>
      <c r="G8" s="69" t="s">
        <v>29</v>
      </c>
      <c r="H8" s="69"/>
      <c r="I8" s="71" t="s">
        <v>193</v>
      </c>
      <c r="J8" s="71" t="s">
        <v>267</v>
      </c>
    </row>
    <row r="9" spans="1:17" ht="23.5" x14ac:dyDescent="0.45">
      <c r="A9" s="90" t="s">
        <v>117</v>
      </c>
      <c r="B9" s="74">
        <v>1000000000</v>
      </c>
      <c r="C9" s="65"/>
      <c r="D9" s="86" t="s">
        <v>117</v>
      </c>
      <c r="E9" s="74">
        <v>1000000000</v>
      </c>
      <c r="F9" s="65"/>
      <c r="G9" s="368" t="s">
        <v>268</v>
      </c>
      <c r="H9" s="369"/>
      <c r="I9" s="71" t="s">
        <v>193</v>
      </c>
      <c r="J9" s="114" t="s">
        <v>271</v>
      </c>
      <c r="M9" s="152"/>
      <c r="N9" s="152"/>
      <c r="O9" s="152"/>
      <c r="P9" s="152"/>
      <c r="Q9" s="152"/>
    </row>
    <row r="10" spans="1:17" ht="18.5" customHeight="1" x14ac:dyDescent="0.45">
      <c r="A10" s="65"/>
      <c r="B10" s="65"/>
      <c r="C10" s="65"/>
      <c r="D10" s="65"/>
      <c r="E10" s="65"/>
      <c r="F10" s="65"/>
      <c r="M10" s="152"/>
      <c r="N10" s="153"/>
      <c r="O10" s="153"/>
      <c r="P10" s="154"/>
      <c r="Q10" s="154"/>
    </row>
    <row r="11" spans="1:17" ht="18.5" x14ac:dyDescent="0.45">
      <c r="A11" s="421" t="s">
        <v>119</v>
      </c>
      <c r="B11" s="421"/>
      <c r="C11" s="421"/>
      <c r="D11" s="421"/>
      <c r="E11" s="421"/>
      <c r="F11" s="65"/>
      <c r="G11" s="65"/>
      <c r="H11" s="65"/>
      <c r="I11" s="65"/>
      <c r="M11" s="152"/>
      <c r="N11" s="153"/>
      <c r="O11" s="153"/>
      <c r="P11" s="154"/>
      <c r="Q11" s="154"/>
    </row>
    <row r="12" spans="1:17" ht="18.5" x14ac:dyDescent="0.45">
      <c r="A12" s="92"/>
      <c r="B12" s="381" t="s">
        <v>114</v>
      </c>
      <c r="C12" s="381"/>
      <c r="D12" s="506" t="s">
        <v>262</v>
      </c>
      <c r="E12" s="506"/>
      <c r="F12" s="93"/>
      <c r="G12" s="65"/>
      <c r="H12" s="65"/>
      <c r="I12" s="65"/>
      <c r="M12" s="152"/>
      <c r="N12" s="153"/>
      <c r="O12" s="153"/>
      <c r="P12" s="154"/>
      <c r="Q12" s="154"/>
    </row>
    <row r="13" spans="1:17" ht="18.5" x14ac:dyDescent="0.45">
      <c r="A13" s="90" t="s">
        <v>150</v>
      </c>
      <c r="B13" s="401">
        <f>21.04*1000000</f>
        <v>21040000</v>
      </c>
      <c r="C13" s="401"/>
      <c r="D13" s="519">
        <v>13360800</v>
      </c>
      <c r="E13" s="519"/>
      <c r="F13" s="149"/>
      <c r="G13" s="65"/>
      <c r="H13" s="65"/>
      <c r="I13" s="65"/>
      <c r="M13" s="152"/>
      <c r="N13" s="153"/>
      <c r="O13" s="153"/>
      <c r="P13" s="154"/>
      <c r="Q13" s="154"/>
    </row>
    <row r="14" spans="1:17" ht="18.5" x14ac:dyDescent="0.45">
      <c r="A14" s="90" t="s">
        <v>120</v>
      </c>
      <c r="B14" s="402">
        <f>B13*15</f>
        <v>315600000</v>
      </c>
      <c r="C14" s="402"/>
      <c r="D14" s="422">
        <f>D13*20</f>
        <v>267216000</v>
      </c>
      <c r="E14" s="423"/>
      <c r="F14" s="91"/>
      <c r="G14" s="102"/>
      <c r="H14" s="65"/>
      <c r="I14" s="65"/>
      <c r="M14" s="152"/>
      <c r="N14" s="153"/>
      <c r="O14" s="153"/>
      <c r="P14" s="154"/>
      <c r="Q14" s="154"/>
    </row>
    <row r="15" spans="1:17" ht="18.5" x14ac:dyDescent="0.45">
      <c r="A15" s="65"/>
      <c r="B15" s="65"/>
      <c r="C15" s="65"/>
      <c r="D15" s="65"/>
      <c r="E15" s="65"/>
      <c r="F15" s="65"/>
      <c r="G15" s="65"/>
      <c r="H15" s="65"/>
      <c r="I15" s="65"/>
      <c r="M15" s="152"/>
      <c r="N15" s="153"/>
      <c r="O15" s="153"/>
      <c r="P15" s="154"/>
      <c r="Q15" s="154"/>
    </row>
    <row r="16" spans="1:17" ht="18.5" x14ac:dyDescent="0.45">
      <c r="A16" s="421" t="s">
        <v>153</v>
      </c>
      <c r="B16" s="421"/>
      <c r="C16" s="421"/>
      <c r="D16" s="421"/>
      <c r="E16" s="421"/>
      <c r="F16" s="421"/>
      <c r="G16" s="421"/>
      <c r="H16" s="421"/>
      <c r="I16" s="421"/>
      <c r="M16" s="152"/>
      <c r="N16" s="153"/>
      <c r="O16" s="153"/>
      <c r="P16" s="154"/>
      <c r="Q16" s="154"/>
    </row>
    <row r="17" spans="1:20" ht="55.5" customHeight="1" x14ac:dyDescent="0.45">
      <c r="A17" s="92" t="s">
        <v>155</v>
      </c>
      <c r="B17" s="389" t="s">
        <v>158</v>
      </c>
      <c r="C17" s="390"/>
      <c r="D17" s="391" t="s">
        <v>24</v>
      </c>
      <c r="E17" s="392"/>
      <c r="F17" s="398" t="s">
        <v>25</v>
      </c>
      <c r="G17" s="398"/>
      <c r="H17" s="397" t="s">
        <v>157</v>
      </c>
      <c r="I17" s="397"/>
    </row>
    <row r="18" spans="1:20" ht="35" customHeight="1" x14ac:dyDescent="0.45">
      <c r="A18" s="90"/>
      <c r="B18" s="94" t="s">
        <v>159</v>
      </c>
      <c r="C18" s="103" t="s">
        <v>262</v>
      </c>
      <c r="D18" s="94" t="s">
        <v>159</v>
      </c>
      <c r="E18" s="103" t="s">
        <v>262</v>
      </c>
      <c r="F18" s="94" t="s">
        <v>159</v>
      </c>
      <c r="G18" s="103" t="s">
        <v>262</v>
      </c>
      <c r="H18" s="94" t="s">
        <v>159</v>
      </c>
      <c r="I18" s="103" t="s">
        <v>262</v>
      </c>
    </row>
    <row r="19" spans="1:20" ht="19" thickBot="1" x14ac:dyDescent="0.5">
      <c r="A19" s="73">
        <v>1</v>
      </c>
      <c r="B19" s="78">
        <f>$B$13</f>
        <v>21040000</v>
      </c>
      <c r="C19" s="78">
        <f>$D$13</f>
        <v>13360800</v>
      </c>
      <c r="D19" s="78">
        <f>$B$9</f>
        <v>1000000000</v>
      </c>
      <c r="E19" s="78">
        <f>$E$9</f>
        <v>1000000000</v>
      </c>
      <c r="F19" s="79"/>
      <c r="G19" s="394" t="s">
        <v>13</v>
      </c>
      <c r="H19" s="79"/>
      <c r="I19" s="79"/>
    </row>
    <row r="20" spans="1:20" ht="14.5" customHeight="1" x14ac:dyDescent="0.45">
      <c r="A20" s="75">
        <v>2</v>
      </c>
      <c r="B20" s="78">
        <f t="shared" ref="B20:B31" si="0">$B$13</f>
        <v>21040000</v>
      </c>
      <c r="C20" s="78">
        <f t="shared" ref="C20:C34" si="1">$D$13</f>
        <v>13360800</v>
      </c>
      <c r="D20" s="78">
        <f t="shared" ref="D20:D23" si="2">$B$9</f>
        <v>1000000000</v>
      </c>
      <c r="E20" s="78">
        <f t="shared" ref="E20:E26" si="3">$E$9</f>
        <v>1000000000</v>
      </c>
      <c r="F20" s="79"/>
      <c r="G20" s="395"/>
      <c r="H20" s="79"/>
      <c r="I20" s="79"/>
      <c r="K20" s="510" t="s">
        <v>344</v>
      </c>
      <c r="L20" s="511"/>
      <c r="M20" s="511"/>
      <c r="N20" s="511"/>
      <c r="O20" s="511"/>
      <c r="P20" s="511"/>
      <c r="Q20" s="511"/>
      <c r="R20" s="511"/>
      <c r="S20" s="511"/>
      <c r="T20" s="512"/>
    </row>
    <row r="21" spans="1:20" ht="14.5" customHeight="1" x14ac:dyDescent="0.45">
      <c r="A21" s="75">
        <v>3</v>
      </c>
      <c r="B21" s="78">
        <f t="shared" si="0"/>
        <v>21040000</v>
      </c>
      <c r="C21" s="78">
        <f t="shared" si="1"/>
        <v>13360800</v>
      </c>
      <c r="D21" s="78">
        <f t="shared" si="2"/>
        <v>1000000000</v>
      </c>
      <c r="E21" s="78">
        <f t="shared" si="3"/>
        <v>1000000000</v>
      </c>
      <c r="F21" s="79"/>
      <c r="G21" s="395"/>
      <c r="H21" s="79"/>
      <c r="I21" s="79"/>
      <c r="K21" s="513"/>
      <c r="L21" s="514"/>
      <c r="M21" s="514"/>
      <c r="N21" s="514"/>
      <c r="O21" s="514"/>
      <c r="P21" s="514"/>
      <c r="Q21" s="514"/>
      <c r="R21" s="514"/>
      <c r="S21" s="514"/>
      <c r="T21" s="515"/>
    </row>
    <row r="22" spans="1:20" ht="14.5" customHeight="1" x14ac:dyDescent="0.45">
      <c r="A22" s="75">
        <v>4</v>
      </c>
      <c r="B22" s="78">
        <f t="shared" si="0"/>
        <v>21040000</v>
      </c>
      <c r="C22" s="78">
        <f t="shared" si="1"/>
        <v>13360800</v>
      </c>
      <c r="D22" s="78">
        <f t="shared" si="2"/>
        <v>1000000000</v>
      </c>
      <c r="E22" s="78">
        <f t="shared" si="3"/>
        <v>1000000000</v>
      </c>
      <c r="F22" s="79"/>
      <c r="G22" s="395"/>
      <c r="H22" s="79"/>
      <c r="I22" s="79"/>
      <c r="K22" s="513"/>
      <c r="L22" s="514"/>
      <c r="M22" s="514"/>
      <c r="N22" s="514"/>
      <c r="O22" s="514"/>
      <c r="P22" s="514"/>
      <c r="Q22" s="514"/>
      <c r="R22" s="514"/>
      <c r="S22" s="514"/>
      <c r="T22" s="515"/>
    </row>
    <row r="23" spans="1:20" ht="14.5" customHeight="1" x14ac:dyDescent="0.45">
      <c r="A23" s="75">
        <v>5</v>
      </c>
      <c r="B23" s="78">
        <f t="shared" si="0"/>
        <v>21040000</v>
      </c>
      <c r="C23" s="78">
        <f t="shared" si="1"/>
        <v>13360800</v>
      </c>
      <c r="D23" s="78">
        <f t="shared" si="2"/>
        <v>1000000000</v>
      </c>
      <c r="E23" s="78">
        <f t="shared" si="3"/>
        <v>1000000000</v>
      </c>
      <c r="F23" s="79"/>
      <c r="G23" s="395"/>
      <c r="H23" s="79"/>
      <c r="I23" s="79"/>
      <c r="K23" s="513"/>
      <c r="L23" s="514"/>
      <c r="M23" s="514"/>
      <c r="N23" s="514"/>
      <c r="O23" s="514"/>
      <c r="P23" s="514"/>
      <c r="Q23" s="514"/>
      <c r="R23" s="514"/>
      <c r="S23" s="514"/>
      <c r="T23" s="515"/>
    </row>
    <row r="24" spans="1:20" ht="14.5" customHeight="1" x14ac:dyDescent="0.45">
      <c r="A24" s="75">
        <v>6</v>
      </c>
      <c r="B24" s="78">
        <f t="shared" si="0"/>
        <v>21040000</v>
      </c>
      <c r="C24" s="78">
        <f t="shared" si="1"/>
        <v>13360800</v>
      </c>
      <c r="D24" s="150">
        <f>125%*B9</f>
        <v>1250000000</v>
      </c>
      <c r="E24" s="78">
        <f t="shared" si="3"/>
        <v>1000000000</v>
      </c>
      <c r="F24" s="79"/>
      <c r="G24" s="395"/>
      <c r="H24" s="79"/>
      <c r="I24" s="79"/>
      <c r="K24" s="513"/>
      <c r="L24" s="514"/>
      <c r="M24" s="514"/>
      <c r="N24" s="514"/>
      <c r="O24" s="514"/>
      <c r="P24" s="514"/>
      <c r="Q24" s="514"/>
      <c r="R24" s="514"/>
      <c r="S24" s="514"/>
      <c r="T24" s="515"/>
    </row>
    <row r="25" spans="1:20" ht="14.5" customHeight="1" x14ac:dyDescent="0.45">
      <c r="A25" s="75">
        <v>7</v>
      </c>
      <c r="B25" s="78">
        <f t="shared" si="0"/>
        <v>21040000</v>
      </c>
      <c r="C25" s="78">
        <f t="shared" si="1"/>
        <v>13360800</v>
      </c>
      <c r="D25" s="150">
        <f>D24</f>
        <v>1250000000</v>
      </c>
      <c r="E25" s="78">
        <f t="shared" si="3"/>
        <v>1000000000</v>
      </c>
      <c r="F25" s="79"/>
      <c r="G25" s="395"/>
      <c r="H25" s="79"/>
      <c r="I25" s="79"/>
      <c r="K25" s="513"/>
      <c r="L25" s="514"/>
      <c r="M25" s="514"/>
      <c r="N25" s="514"/>
      <c r="O25" s="514"/>
      <c r="P25" s="514"/>
      <c r="Q25" s="514"/>
      <c r="R25" s="514"/>
      <c r="S25" s="514"/>
      <c r="T25" s="515"/>
    </row>
    <row r="26" spans="1:20" ht="14.5" customHeight="1" x14ac:dyDescent="0.45">
      <c r="A26" s="75">
        <v>8</v>
      </c>
      <c r="B26" s="78">
        <f t="shared" si="0"/>
        <v>21040000</v>
      </c>
      <c r="C26" s="78">
        <f t="shared" si="1"/>
        <v>13360800</v>
      </c>
      <c r="D26" s="150">
        <f>D24</f>
        <v>1250000000</v>
      </c>
      <c r="E26" s="78">
        <f t="shared" si="3"/>
        <v>1000000000</v>
      </c>
      <c r="F26" s="79"/>
      <c r="G26" s="395"/>
      <c r="H26" s="79"/>
      <c r="I26" s="79"/>
      <c r="K26" s="513"/>
      <c r="L26" s="514"/>
      <c r="M26" s="514"/>
      <c r="N26" s="514"/>
      <c r="O26" s="514"/>
      <c r="P26" s="514"/>
      <c r="Q26" s="514"/>
      <c r="R26" s="514"/>
      <c r="S26" s="514"/>
      <c r="T26" s="515"/>
    </row>
    <row r="27" spans="1:20" ht="14.5" customHeight="1" x14ac:dyDescent="0.45">
      <c r="A27" s="75">
        <v>9</v>
      </c>
      <c r="B27" s="78">
        <f t="shared" si="0"/>
        <v>21040000</v>
      </c>
      <c r="C27" s="78">
        <f t="shared" si="1"/>
        <v>13360800</v>
      </c>
      <c r="D27" s="150">
        <f>D24</f>
        <v>1250000000</v>
      </c>
      <c r="E27" s="78">
        <f>E9</f>
        <v>1000000000</v>
      </c>
      <c r="F27" s="79"/>
      <c r="G27" s="395"/>
      <c r="H27" s="79"/>
      <c r="I27" s="79"/>
      <c r="J27" s="28"/>
      <c r="K27" s="513"/>
      <c r="L27" s="514"/>
      <c r="M27" s="514"/>
      <c r="N27" s="514"/>
      <c r="O27" s="514"/>
      <c r="P27" s="514"/>
      <c r="Q27" s="514"/>
      <c r="R27" s="514"/>
      <c r="S27" s="514"/>
      <c r="T27" s="515"/>
    </row>
    <row r="28" spans="1:20" ht="14.5" customHeight="1" x14ac:dyDescent="0.45">
      <c r="A28" s="75">
        <v>10</v>
      </c>
      <c r="B28" s="78">
        <f t="shared" si="0"/>
        <v>21040000</v>
      </c>
      <c r="C28" s="78">
        <f t="shared" si="1"/>
        <v>13360800</v>
      </c>
      <c r="D28" s="150">
        <f>D24</f>
        <v>1250000000</v>
      </c>
      <c r="E28" s="78">
        <f>E25</f>
        <v>1000000000</v>
      </c>
      <c r="F28" s="79"/>
      <c r="G28" s="395"/>
      <c r="H28" s="79"/>
      <c r="I28" s="79"/>
      <c r="J28" s="28"/>
      <c r="K28" s="513"/>
      <c r="L28" s="514"/>
      <c r="M28" s="514"/>
      <c r="N28" s="514"/>
      <c r="O28" s="514"/>
      <c r="P28" s="514"/>
      <c r="Q28" s="514"/>
      <c r="R28" s="514"/>
      <c r="S28" s="514"/>
      <c r="T28" s="515"/>
    </row>
    <row r="29" spans="1:20" ht="14.5" customHeight="1" x14ac:dyDescent="0.45">
      <c r="A29" s="75">
        <v>11</v>
      </c>
      <c r="B29" s="78">
        <f t="shared" si="0"/>
        <v>21040000</v>
      </c>
      <c r="C29" s="78">
        <f t="shared" si="1"/>
        <v>13360800</v>
      </c>
      <c r="D29" s="150">
        <f>B9*150%</f>
        <v>1500000000</v>
      </c>
      <c r="E29" s="78">
        <f>E25</f>
        <v>1000000000</v>
      </c>
      <c r="F29" s="79"/>
      <c r="G29" s="395"/>
      <c r="H29" s="79"/>
      <c r="I29" s="79"/>
      <c r="J29" s="28"/>
      <c r="K29" s="513"/>
      <c r="L29" s="514"/>
      <c r="M29" s="514"/>
      <c r="N29" s="514"/>
      <c r="O29" s="514"/>
      <c r="P29" s="514"/>
      <c r="Q29" s="514"/>
      <c r="R29" s="514"/>
      <c r="S29" s="514"/>
      <c r="T29" s="515"/>
    </row>
    <row r="30" spans="1:20" ht="14.5" customHeight="1" x14ac:dyDescent="0.45">
      <c r="A30" s="75" t="s">
        <v>160</v>
      </c>
      <c r="B30" s="78">
        <f t="shared" si="0"/>
        <v>21040000</v>
      </c>
      <c r="C30" s="78">
        <f t="shared" si="1"/>
        <v>13360800</v>
      </c>
      <c r="D30" s="81" t="s">
        <v>160</v>
      </c>
      <c r="E30" s="78"/>
      <c r="F30" s="78"/>
      <c r="G30" s="395"/>
      <c r="H30" s="79"/>
      <c r="I30" s="79"/>
      <c r="J30" s="28"/>
      <c r="K30" s="513"/>
      <c r="L30" s="514"/>
      <c r="M30" s="514"/>
      <c r="N30" s="514"/>
      <c r="O30" s="514"/>
      <c r="P30" s="514"/>
      <c r="Q30" s="514"/>
      <c r="R30" s="514"/>
      <c r="S30" s="514"/>
      <c r="T30" s="515"/>
    </row>
    <row r="31" spans="1:20" ht="14.5" customHeight="1" x14ac:dyDescent="0.45">
      <c r="A31" s="75">
        <v>15</v>
      </c>
      <c r="B31" s="78">
        <f t="shared" si="0"/>
        <v>21040000</v>
      </c>
      <c r="C31" s="78">
        <f t="shared" si="1"/>
        <v>13360800</v>
      </c>
      <c r="D31" s="150">
        <f>D29</f>
        <v>1500000000</v>
      </c>
      <c r="E31" s="78">
        <f>E29</f>
        <v>1000000000</v>
      </c>
      <c r="F31" s="79"/>
      <c r="G31" s="395"/>
      <c r="H31" s="79"/>
      <c r="I31" s="79"/>
      <c r="J31" s="28"/>
      <c r="K31" s="513"/>
      <c r="L31" s="514"/>
      <c r="M31" s="514"/>
      <c r="N31" s="514"/>
      <c r="O31" s="514"/>
      <c r="P31" s="514"/>
      <c r="Q31" s="514"/>
      <c r="R31" s="514"/>
      <c r="S31" s="514"/>
      <c r="T31" s="515"/>
    </row>
    <row r="32" spans="1:20" ht="14.5" customHeight="1" x14ac:dyDescent="0.45">
      <c r="A32" s="75">
        <v>16</v>
      </c>
      <c r="B32" s="80"/>
      <c r="C32" s="78">
        <f t="shared" si="1"/>
        <v>13360800</v>
      </c>
      <c r="D32" s="150">
        <f>150%*B9</f>
        <v>1500000000</v>
      </c>
      <c r="E32" s="78">
        <f>E29</f>
        <v>1000000000</v>
      </c>
      <c r="F32" s="83">
        <f>D32+B9</f>
        <v>2500000000</v>
      </c>
      <c r="G32" s="395"/>
      <c r="H32" s="79"/>
      <c r="I32" s="79"/>
      <c r="J32" s="28"/>
      <c r="K32" s="513"/>
      <c r="L32" s="514"/>
      <c r="M32" s="514"/>
      <c r="N32" s="514"/>
      <c r="O32" s="514"/>
      <c r="P32" s="514"/>
      <c r="Q32" s="514"/>
      <c r="R32" s="514"/>
      <c r="S32" s="514"/>
      <c r="T32" s="515"/>
    </row>
    <row r="33" spans="1:20" ht="14.5" customHeight="1" x14ac:dyDescent="0.45">
      <c r="A33" s="75" t="s">
        <v>160</v>
      </c>
      <c r="B33" s="80"/>
      <c r="C33" s="78">
        <f t="shared" si="1"/>
        <v>13360800</v>
      </c>
      <c r="D33" s="80" t="s">
        <v>160</v>
      </c>
      <c r="E33" s="80" t="s">
        <v>160</v>
      </c>
      <c r="F33" s="79"/>
      <c r="G33" s="395"/>
      <c r="H33" s="79"/>
      <c r="I33" s="79"/>
      <c r="J33" s="28"/>
      <c r="K33" s="513"/>
      <c r="L33" s="514"/>
      <c r="M33" s="514"/>
      <c r="N33" s="514"/>
      <c r="O33" s="514"/>
      <c r="P33" s="514"/>
      <c r="Q33" s="514"/>
      <c r="R33" s="514"/>
      <c r="S33" s="514"/>
      <c r="T33" s="515"/>
    </row>
    <row r="34" spans="1:20" ht="14.5" customHeight="1" x14ac:dyDescent="0.45">
      <c r="A34" s="75" t="s">
        <v>160</v>
      </c>
      <c r="B34" s="79"/>
      <c r="C34" s="78">
        <f t="shared" si="1"/>
        <v>13360800</v>
      </c>
      <c r="D34" s="80" t="s">
        <v>160</v>
      </c>
      <c r="E34" s="80" t="s">
        <v>160</v>
      </c>
      <c r="F34" s="79"/>
      <c r="G34" s="395"/>
      <c r="H34" s="79"/>
      <c r="I34" s="79"/>
      <c r="J34" s="28"/>
      <c r="K34" s="513"/>
      <c r="L34" s="514"/>
      <c r="M34" s="514"/>
      <c r="N34" s="514"/>
      <c r="O34" s="514"/>
      <c r="P34" s="514"/>
      <c r="Q34" s="514"/>
      <c r="R34" s="514"/>
      <c r="S34" s="514"/>
      <c r="T34" s="515"/>
    </row>
    <row r="35" spans="1:20" ht="14.5" customHeight="1" x14ac:dyDescent="0.45">
      <c r="A35" s="75">
        <v>21</v>
      </c>
      <c r="B35" s="79"/>
      <c r="C35" s="79"/>
      <c r="D35" s="83">
        <f>175%*B9</f>
        <v>1750000000</v>
      </c>
      <c r="E35" s="81">
        <f>E32</f>
        <v>1000000000</v>
      </c>
      <c r="F35" s="79"/>
      <c r="G35" s="395"/>
      <c r="H35" s="79"/>
      <c r="I35" s="79"/>
      <c r="K35" s="513"/>
      <c r="L35" s="514"/>
      <c r="M35" s="514"/>
      <c r="N35" s="514"/>
      <c r="O35" s="514"/>
      <c r="P35" s="514"/>
      <c r="Q35" s="514"/>
      <c r="R35" s="514"/>
      <c r="S35" s="514"/>
      <c r="T35" s="515"/>
    </row>
    <row r="36" spans="1:20" ht="14.5" customHeight="1" x14ac:dyDescent="0.45">
      <c r="A36" s="75" t="s">
        <v>160</v>
      </c>
      <c r="B36" s="79"/>
      <c r="C36" s="79"/>
      <c r="D36" s="81" t="s">
        <v>160</v>
      </c>
      <c r="E36" s="80" t="s">
        <v>160</v>
      </c>
      <c r="F36" s="79"/>
      <c r="G36" s="395"/>
      <c r="H36" s="79"/>
      <c r="I36" s="79"/>
      <c r="K36" s="513"/>
      <c r="L36" s="514"/>
      <c r="M36" s="514"/>
      <c r="N36" s="514"/>
      <c r="O36" s="514"/>
      <c r="P36" s="514"/>
      <c r="Q36" s="514"/>
      <c r="R36" s="514"/>
      <c r="S36" s="514"/>
      <c r="T36" s="515"/>
    </row>
    <row r="37" spans="1:20" ht="14.5" customHeight="1" x14ac:dyDescent="0.45">
      <c r="A37" s="75" t="s">
        <v>160</v>
      </c>
      <c r="B37" s="79"/>
      <c r="C37" s="79"/>
      <c r="D37" s="80" t="s">
        <v>160</v>
      </c>
      <c r="E37" s="80" t="s">
        <v>160</v>
      </c>
      <c r="F37" s="79"/>
      <c r="G37" s="395"/>
      <c r="H37" s="79"/>
      <c r="I37" s="79"/>
      <c r="K37" s="513"/>
      <c r="L37" s="514"/>
      <c r="M37" s="514"/>
      <c r="N37" s="514"/>
      <c r="O37" s="514"/>
      <c r="P37" s="514"/>
      <c r="Q37" s="514"/>
      <c r="R37" s="514"/>
      <c r="S37" s="514"/>
      <c r="T37" s="515"/>
    </row>
    <row r="38" spans="1:20" ht="14.5" customHeight="1" x14ac:dyDescent="0.45">
      <c r="A38" s="75">
        <v>26</v>
      </c>
      <c r="B38" s="79"/>
      <c r="C38" s="79"/>
      <c r="D38" s="150">
        <f>200%*B9</f>
        <v>2000000000</v>
      </c>
      <c r="E38" s="81">
        <f>E35</f>
        <v>1000000000</v>
      </c>
      <c r="F38" s="79"/>
      <c r="G38" s="395"/>
      <c r="H38" s="79"/>
      <c r="I38" s="79"/>
      <c r="K38" s="513"/>
      <c r="L38" s="514"/>
      <c r="M38" s="514"/>
      <c r="N38" s="514"/>
      <c r="O38" s="514"/>
      <c r="P38" s="514"/>
      <c r="Q38" s="514"/>
      <c r="R38" s="514"/>
      <c r="S38" s="514"/>
      <c r="T38" s="515"/>
    </row>
    <row r="39" spans="1:20" ht="14.5" customHeight="1" x14ac:dyDescent="0.35">
      <c r="A39" s="77" t="s">
        <v>160</v>
      </c>
      <c r="B39" s="79"/>
      <c r="C39" s="79"/>
      <c r="D39" s="81" t="s">
        <v>160</v>
      </c>
      <c r="E39" s="81" t="s">
        <v>160</v>
      </c>
      <c r="F39" s="79"/>
      <c r="G39" s="395"/>
      <c r="H39" s="79"/>
      <c r="I39" s="79"/>
      <c r="K39" s="513"/>
      <c r="L39" s="514"/>
      <c r="M39" s="514"/>
      <c r="N39" s="514"/>
      <c r="O39" s="514"/>
      <c r="P39" s="514"/>
      <c r="Q39" s="514"/>
      <c r="R39" s="514"/>
      <c r="S39" s="514"/>
      <c r="T39" s="515"/>
    </row>
    <row r="40" spans="1:20" ht="14.5" customHeight="1" x14ac:dyDescent="0.35">
      <c r="A40" s="77" t="s">
        <v>160</v>
      </c>
      <c r="B40" s="79"/>
      <c r="C40" s="79"/>
      <c r="D40" s="81" t="s">
        <v>160</v>
      </c>
      <c r="E40" s="81" t="s">
        <v>160</v>
      </c>
      <c r="F40" s="79"/>
      <c r="G40" s="395"/>
      <c r="H40" s="79"/>
      <c r="I40" s="79"/>
      <c r="K40" s="513"/>
      <c r="L40" s="514"/>
      <c r="M40" s="514"/>
      <c r="N40" s="514"/>
      <c r="O40" s="514"/>
      <c r="P40" s="514"/>
      <c r="Q40" s="514"/>
      <c r="R40" s="514"/>
      <c r="S40" s="514"/>
      <c r="T40" s="515"/>
    </row>
    <row r="41" spans="1:20" ht="14.5" customHeight="1" x14ac:dyDescent="0.35">
      <c r="A41" s="77">
        <v>40</v>
      </c>
      <c r="B41" s="79"/>
      <c r="C41" s="79"/>
      <c r="D41" s="83">
        <f>D38</f>
        <v>2000000000</v>
      </c>
      <c r="E41" s="78">
        <f>E38</f>
        <v>1000000000</v>
      </c>
      <c r="F41" s="79"/>
      <c r="G41" s="395"/>
      <c r="H41" s="78"/>
      <c r="I41" s="78">
        <f>E9</f>
        <v>1000000000</v>
      </c>
      <c r="K41" s="513"/>
      <c r="L41" s="514"/>
      <c r="M41" s="514"/>
      <c r="N41" s="514"/>
      <c r="O41" s="514"/>
      <c r="P41" s="514"/>
      <c r="Q41" s="514"/>
      <c r="R41" s="514"/>
      <c r="S41" s="514"/>
      <c r="T41" s="515"/>
    </row>
    <row r="42" spans="1:20" ht="14.5" customHeight="1" x14ac:dyDescent="0.35">
      <c r="A42" s="77" t="s">
        <v>160</v>
      </c>
      <c r="B42" s="79"/>
      <c r="C42" s="79"/>
      <c r="D42" s="78"/>
      <c r="E42" s="78"/>
      <c r="F42" s="79"/>
      <c r="G42" s="395"/>
      <c r="H42" s="78"/>
      <c r="I42" s="79"/>
      <c r="K42" s="513"/>
      <c r="L42" s="514"/>
      <c r="M42" s="514"/>
      <c r="N42" s="514"/>
      <c r="O42" s="514"/>
      <c r="P42" s="514"/>
      <c r="Q42" s="514"/>
      <c r="R42" s="514"/>
      <c r="S42" s="514"/>
      <c r="T42" s="515"/>
    </row>
    <row r="43" spans="1:20" ht="14.5" customHeight="1" x14ac:dyDescent="0.35">
      <c r="A43" s="77">
        <v>59</v>
      </c>
      <c r="B43" s="79"/>
      <c r="C43" s="79"/>
      <c r="D43" s="78"/>
      <c r="E43" s="78"/>
      <c r="F43" s="79"/>
      <c r="G43" s="395"/>
      <c r="H43" s="78">
        <f>B9*200%</f>
        <v>2000000000</v>
      </c>
      <c r="I43" s="79"/>
      <c r="K43" s="513"/>
      <c r="L43" s="514"/>
      <c r="M43" s="514"/>
      <c r="N43" s="514"/>
      <c r="O43" s="514"/>
      <c r="P43" s="514"/>
      <c r="Q43" s="514"/>
      <c r="R43" s="514"/>
      <c r="S43" s="514"/>
      <c r="T43" s="515"/>
    </row>
    <row r="44" spans="1:20" ht="15" customHeight="1" x14ac:dyDescent="0.35">
      <c r="A44" s="77">
        <v>60</v>
      </c>
      <c r="B44" s="79"/>
      <c r="C44" s="79"/>
      <c r="D44" s="79"/>
      <c r="E44" s="78"/>
      <c r="F44" s="79"/>
      <c r="G44" s="396"/>
      <c r="H44" s="78"/>
      <c r="I44" s="78"/>
      <c r="K44" s="513"/>
      <c r="L44" s="514"/>
      <c r="M44" s="514"/>
      <c r="N44" s="514"/>
      <c r="O44" s="514"/>
      <c r="P44" s="514"/>
      <c r="Q44" s="514"/>
      <c r="R44" s="514"/>
      <c r="S44" s="514"/>
      <c r="T44" s="515"/>
    </row>
    <row r="45" spans="1:20" x14ac:dyDescent="0.35">
      <c r="K45" s="513"/>
      <c r="L45" s="514"/>
      <c r="M45" s="514"/>
      <c r="N45" s="514"/>
      <c r="O45" s="514"/>
      <c r="P45" s="514"/>
      <c r="Q45" s="514"/>
      <c r="R45" s="514"/>
      <c r="S45" s="514"/>
      <c r="T45" s="515"/>
    </row>
    <row r="46" spans="1:20" x14ac:dyDescent="0.35">
      <c r="K46" s="513"/>
      <c r="L46" s="514"/>
      <c r="M46" s="514"/>
      <c r="N46" s="514"/>
      <c r="O46" s="514"/>
      <c r="P46" s="514"/>
      <c r="Q46" s="514"/>
      <c r="R46" s="514"/>
      <c r="S46" s="514"/>
      <c r="T46" s="515"/>
    </row>
    <row r="47" spans="1:20" ht="15" thickBot="1" x14ac:dyDescent="0.4">
      <c r="K47" s="516"/>
      <c r="L47" s="517"/>
      <c r="M47" s="517"/>
      <c r="N47" s="517"/>
      <c r="O47" s="517"/>
      <c r="P47" s="517"/>
      <c r="Q47" s="517"/>
      <c r="R47" s="517"/>
      <c r="S47" s="517"/>
      <c r="T47" s="518"/>
    </row>
    <row r="48" spans="1:20" x14ac:dyDescent="0.35">
      <c r="J48" s="28"/>
    </row>
    <row r="49" spans="10:10" x14ac:dyDescent="0.35">
      <c r="J49" s="51"/>
    </row>
  </sheetData>
  <mergeCells count="38">
    <mergeCell ref="K20:T47"/>
    <mergeCell ref="A11:E11"/>
    <mergeCell ref="B12:C12"/>
    <mergeCell ref="D12:E12"/>
    <mergeCell ref="B13:C13"/>
    <mergeCell ref="D13:E13"/>
    <mergeCell ref="B14:C14"/>
    <mergeCell ref="D14:E14"/>
    <mergeCell ref="A16:I16"/>
    <mergeCell ref="B17:C17"/>
    <mergeCell ref="D17:E17"/>
    <mergeCell ref="F17:G17"/>
    <mergeCell ref="H17:I17"/>
    <mergeCell ref="G19:G44"/>
    <mergeCell ref="G9:H9"/>
    <mergeCell ref="G3:H3"/>
    <mergeCell ref="N3:O3"/>
    <mergeCell ref="P3:Q3"/>
    <mergeCell ref="G4:H5"/>
    <mergeCell ref="I4:I5"/>
    <mergeCell ref="J4:J5"/>
    <mergeCell ref="N4:O4"/>
    <mergeCell ref="P4:Q4"/>
    <mergeCell ref="N5:O5"/>
    <mergeCell ref="P5:Q5"/>
    <mergeCell ref="N6:O6"/>
    <mergeCell ref="P6:Q6"/>
    <mergeCell ref="G7:H7"/>
    <mergeCell ref="N7:O7"/>
    <mergeCell ref="P7:Q7"/>
    <mergeCell ref="A1:E1"/>
    <mergeCell ref="G1:J1"/>
    <mergeCell ref="M1:Q1"/>
    <mergeCell ref="A2:B2"/>
    <mergeCell ref="D2:E2"/>
    <mergeCell ref="G2:H2"/>
    <mergeCell ref="N2:O2"/>
    <mergeCell ref="P2:Q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5117A-F14A-485F-ABF6-A2463ED8B980}">
  <dimension ref="A1:V55"/>
  <sheetViews>
    <sheetView zoomScale="58" zoomScaleNormal="58" workbookViewId="0">
      <pane ySplit="18" topLeftCell="A44" activePane="bottomLeft" state="frozen"/>
      <selection pane="bottomLeft" activeCell="L14" sqref="L14"/>
    </sheetView>
  </sheetViews>
  <sheetFormatPr defaultRowHeight="14.5" outlineLevelRow="1" x14ac:dyDescent="0.35"/>
  <cols>
    <col min="1" max="1" width="23.7265625" customWidth="1"/>
    <col min="2" max="2" width="23.7265625" bestFit="1" customWidth="1"/>
    <col min="3" max="3" width="21.90625" bestFit="1" customWidth="1"/>
    <col min="4" max="6" width="24.453125" bestFit="1" customWidth="1"/>
    <col min="7" max="7" width="23.26953125" customWidth="1"/>
    <col min="8" max="8" width="24.6328125" customWidth="1"/>
    <col min="9" max="9" width="24.453125" bestFit="1" customWidth="1"/>
    <col min="10" max="10" width="30.1796875" customWidth="1"/>
    <col min="11" max="11" width="23.6328125" bestFit="1" customWidth="1"/>
    <col min="12" max="12" width="19.26953125" customWidth="1"/>
    <col min="13" max="13" width="21.7265625" customWidth="1"/>
    <col min="14" max="14" width="9" customWidth="1"/>
    <col min="16" max="16" width="12.54296875" customWidth="1"/>
  </cols>
  <sheetData>
    <row r="1" spans="1:16" ht="21" outlineLevel="1" x14ac:dyDescent="0.35">
      <c r="A1" s="380" t="s">
        <v>170</v>
      </c>
      <c r="B1" s="380"/>
      <c r="C1" s="380"/>
      <c r="D1" s="380"/>
      <c r="E1" s="380"/>
      <c r="F1" s="53"/>
      <c r="G1" s="380" t="s">
        <v>190</v>
      </c>
      <c r="H1" s="380"/>
      <c r="I1" s="380"/>
      <c r="J1" s="380"/>
      <c r="L1" s="380" t="s">
        <v>198</v>
      </c>
      <c r="M1" s="380"/>
      <c r="N1" s="380"/>
      <c r="O1" s="380"/>
      <c r="P1" s="380"/>
    </row>
    <row r="2" spans="1:16" ht="18.5" outlineLevel="1" x14ac:dyDescent="0.45">
      <c r="A2" s="404" t="s">
        <v>114</v>
      </c>
      <c r="B2" s="405"/>
      <c r="C2" s="65"/>
      <c r="D2" s="406" t="s">
        <v>222</v>
      </c>
      <c r="E2" s="406"/>
      <c r="F2" s="53"/>
      <c r="G2" s="520" t="s">
        <v>33</v>
      </c>
      <c r="H2" s="520"/>
      <c r="I2" s="133" t="s">
        <v>114</v>
      </c>
      <c r="J2" s="134" t="s">
        <v>222</v>
      </c>
      <c r="K2" s="68"/>
      <c r="L2" s="90"/>
      <c r="M2" s="381" t="s">
        <v>114</v>
      </c>
      <c r="N2" s="381"/>
      <c r="O2" s="385" t="s">
        <v>222</v>
      </c>
      <c r="P2" s="385"/>
    </row>
    <row r="3" spans="1:16" ht="23.5" outlineLevel="1" x14ac:dyDescent="0.45">
      <c r="A3" s="86" t="s">
        <v>110</v>
      </c>
      <c r="B3" s="76" t="s">
        <v>21</v>
      </c>
      <c r="C3" s="65"/>
      <c r="D3" s="86" t="s">
        <v>110</v>
      </c>
      <c r="E3" s="76" t="s">
        <v>21</v>
      </c>
      <c r="F3" s="53"/>
      <c r="G3" s="86" t="s">
        <v>191</v>
      </c>
      <c r="H3" s="132"/>
      <c r="I3" s="135" t="s">
        <v>193</v>
      </c>
      <c r="J3" s="135" t="s">
        <v>193</v>
      </c>
      <c r="K3" s="65"/>
      <c r="L3" s="106" t="s">
        <v>111</v>
      </c>
      <c r="M3" s="382" t="s">
        <v>201</v>
      </c>
      <c r="N3" s="382"/>
      <c r="O3" s="386" t="s">
        <v>227</v>
      </c>
      <c r="P3" s="386"/>
    </row>
    <row r="4" spans="1:16" ht="18.5" outlineLevel="1" x14ac:dyDescent="0.45">
      <c r="A4" s="86" t="s">
        <v>111</v>
      </c>
      <c r="B4" s="76" t="s">
        <v>145</v>
      </c>
      <c r="C4" s="65"/>
      <c r="D4" s="86" t="s">
        <v>111</v>
      </c>
      <c r="E4" s="87" t="s">
        <v>179</v>
      </c>
      <c r="F4" s="53"/>
      <c r="G4" s="521" t="s">
        <v>192</v>
      </c>
      <c r="H4" s="521"/>
      <c r="I4" s="522" t="s">
        <v>193</v>
      </c>
      <c r="J4" s="523" t="s">
        <v>194</v>
      </c>
      <c r="K4" s="65"/>
      <c r="L4" s="90" t="s">
        <v>200</v>
      </c>
      <c r="M4" s="383" t="s">
        <v>202</v>
      </c>
      <c r="N4" s="384"/>
      <c r="O4" s="387" t="s">
        <v>228</v>
      </c>
      <c r="P4" s="388"/>
    </row>
    <row r="5" spans="1:16" ht="18.5" outlineLevel="1" x14ac:dyDescent="0.45">
      <c r="A5" s="88" t="s">
        <v>7</v>
      </c>
      <c r="B5" s="76" t="s">
        <v>118</v>
      </c>
      <c r="C5" s="65"/>
      <c r="D5" s="86" t="s">
        <v>7</v>
      </c>
      <c r="E5" s="129" t="s">
        <v>225</v>
      </c>
      <c r="F5" s="53"/>
      <c r="G5" s="521"/>
      <c r="H5" s="521"/>
      <c r="I5" s="522"/>
      <c r="J5" s="523"/>
      <c r="K5" s="65"/>
      <c r="L5" s="90" t="s">
        <v>199</v>
      </c>
      <c r="M5" s="383" t="s">
        <v>43</v>
      </c>
      <c r="N5" s="384"/>
      <c r="O5" s="383" t="s">
        <v>46</v>
      </c>
      <c r="P5" s="384"/>
    </row>
    <row r="6" spans="1:16" ht="37.5" customHeight="1" outlineLevel="1" x14ac:dyDescent="0.45">
      <c r="A6" s="88" t="s">
        <v>112</v>
      </c>
      <c r="B6" s="76" t="s">
        <v>113</v>
      </c>
      <c r="C6" s="65"/>
      <c r="D6" s="90" t="s">
        <v>112</v>
      </c>
      <c r="E6" s="76" t="s">
        <v>113</v>
      </c>
      <c r="F6" s="53"/>
      <c r="G6" s="521" t="s">
        <v>226</v>
      </c>
      <c r="H6" s="521"/>
      <c r="I6" s="136" t="s">
        <v>194</v>
      </c>
      <c r="J6" s="71" t="s">
        <v>193</v>
      </c>
      <c r="K6" s="65"/>
      <c r="L6" s="107" t="s">
        <v>110</v>
      </c>
      <c r="M6" s="383" t="s">
        <v>21</v>
      </c>
      <c r="N6" s="384"/>
      <c r="O6" s="383" t="s">
        <v>21</v>
      </c>
      <c r="P6" s="384"/>
    </row>
    <row r="7" spans="1:16" ht="26" outlineLevel="1" x14ac:dyDescent="0.45">
      <c r="A7" s="88" t="s">
        <v>121</v>
      </c>
      <c r="B7" s="76" t="s">
        <v>224</v>
      </c>
      <c r="C7" s="65"/>
      <c r="D7" s="90" t="s">
        <v>10</v>
      </c>
      <c r="E7" s="76" t="s">
        <v>224</v>
      </c>
      <c r="F7" s="53"/>
      <c r="G7" s="86" t="s">
        <v>195</v>
      </c>
      <c r="H7" s="86"/>
      <c r="I7" s="135" t="s">
        <v>193</v>
      </c>
      <c r="J7" s="136" t="s">
        <v>194</v>
      </c>
      <c r="K7" s="67"/>
      <c r="L7" s="107" t="s">
        <v>91</v>
      </c>
      <c r="M7" s="382" t="s">
        <v>92</v>
      </c>
      <c r="N7" s="382"/>
      <c r="O7" s="386" t="s">
        <v>93</v>
      </c>
      <c r="P7" s="386"/>
    </row>
    <row r="8" spans="1:16" ht="26" outlineLevel="1" x14ac:dyDescent="0.45">
      <c r="A8" s="90" t="s">
        <v>12</v>
      </c>
      <c r="B8" s="76" t="s">
        <v>181</v>
      </c>
      <c r="C8" s="65"/>
      <c r="D8" s="90" t="s">
        <v>12</v>
      </c>
      <c r="E8" s="76" t="s">
        <v>223</v>
      </c>
      <c r="F8" s="53"/>
      <c r="G8" s="86" t="s">
        <v>28</v>
      </c>
      <c r="H8" s="86"/>
      <c r="I8" s="135" t="s">
        <v>193</v>
      </c>
      <c r="J8" s="136" t="s">
        <v>194</v>
      </c>
    </row>
    <row r="9" spans="1:16" ht="23.5" outlineLevel="1" x14ac:dyDescent="0.45">
      <c r="A9" s="90" t="s">
        <v>117</v>
      </c>
      <c r="B9" s="74">
        <v>2000000000</v>
      </c>
      <c r="C9" s="65"/>
      <c r="D9" s="86" t="s">
        <v>117</v>
      </c>
      <c r="E9" s="74">
        <v>2000000000</v>
      </c>
      <c r="F9" s="53"/>
      <c r="G9" s="86" t="s">
        <v>29</v>
      </c>
      <c r="H9" s="86"/>
      <c r="I9" s="135" t="s">
        <v>193</v>
      </c>
      <c r="J9" s="135" t="s">
        <v>193</v>
      </c>
      <c r="K9" s="53"/>
    </row>
    <row r="10" spans="1:16" ht="26" x14ac:dyDescent="0.35">
      <c r="A10" s="53"/>
      <c r="B10" s="53"/>
      <c r="C10" s="53"/>
      <c r="D10" s="53"/>
      <c r="E10" s="53"/>
      <c r="F10" s="53"/>
      <c r="G10" s="86" t="s">
        <v>213</v>
      </c>
      <c r="H10" s="86"/>
      <c r="I10" s="135" t="s">
        <v>193</v>
      </c>
      <c r="J10" s="136" t="s">
        <v>194</v>
      </c>
      <c r="K10" s="53"/>
      <c r="L10" s="118"/>
    </row>
    <row r="11" spans="1:16" ht="20.5" customHeight="1" x14ac:dyDescent="0.5">
      <c r="A11" s="393" t="s">
        <v>119</v>
      </c>
      <c r="B11" s="393"/>
      <c r="C11" s="393"/>
      <c r="D11" s="393"/>
      <c r="E11" s="393"/>
      <c r="F11" s="53"/>
      <c r="K11" s="53"/>
      <c r="L11" s="118"/>
      <c r="M11" s="28"/>
    </row>
    <row r="12" spans="1:16" ht="18.5" x14ac:dyDescent="0.45">
      <c r="A12" s="92"/>
      <c r="B12" s="381" t="s">
        <v>114</v>
      </c>
      <c r="C12" s="381"/>
      <c r="D12" s="385" t="s">
        <v>222</v>
      </c>
      <c r="E12" s="385"/>
      <c r="F12" s="55"/>
      <c r="G12" s="53"/>
      <c r="H12" s="117"/>
      <c r="I12" s="53"/>
      <c r="J12" s="53"/>
      <c r="L12" s="118"/>
      <c r="M12" s="28"/>
    </row>
    <row r="13" spans="1:16" ht="18.5" x14ac:dyDescent="0.45">
      <c r="A13" s="54" t="s">
        <v>150</v>
      </c>
      <c r="B13" s="401">
        <f>'Premi H+ 2 bio'!N40*'Heritage+ vs AIA WPP (Non LB)'!B9/1000</f>
        <v>114820000</v>
      </c>
      <c r="C13" s="401"/>
      <c r="D13" s="401">
        <v>131000000</v>
      </c>
      <c r="E13" s="401"/>
      <c r="F13" s="53"/>
      <c r="G13" s="117"/>
      <c r="I13" s="53"/>
      <c r="J13" s="53"/>
      <c r="K13" s="53"/>
      <c r="L13" s="118"/>
      <c r="M13" s="28"/>
    </row>
    <row r="14" spans="1:16" ht="18.5" x14ac:dyDescent="0.45">
      <c r="A14" s="54" t="s">
        <v>120</v>
      </c>
      <c r="B14" s="407">
        <f>B13*5</f>
        <v>574100000</v>
      </c>
      <c r="C14" s="407"/>
      <c r="D14" s="402">
        <f>D13*5</f>
        <v>655000000</v>
      </c>
      <c r="E14" s="403"/>
      <c r="F14" s="58"/>
      <c r="G14" s="53"/>
      <c r="H14" s="53"/>
      <c r="I14" s="53"/>
      <c r="J14" s="53"/>
      <c r="K14" s="53"/>
      <c r="L14" s="118"/>
    </row>
    <row r="15" spans="1:16" ht="18.5" x14ac:dyDescent="0.35">
      <c r="A15" s="53"/>
      <c r="B15" s="53"/>
      <c r="C15" s="53"/>
      <c r="D15" s="53"/>
      <c r="E15" s="53"/>
      <c r="F15" s="53"/>
      <c r="G15" s="53"/>
      <c r="H15" s="53"/>
      <c r="I15" s="53"/>
      <c r="J15" s="53"/>
      <c r="K15" s="53"/>
      <c r="L15" s="118"/>
    </row>
    <row r="16" spans="1:16" ht="21" x14ac:dyDescent="0.5">
      <c r="A16" s="524" t="s">
        <v>153</v>
      </c>
      <c r="B16" s="524"/>
      <c r="C16" s="524"/>
      <c r="D16" s="524"/>
      <c r="E16" s="524"/>
      <c r="F16" s="524"/>
      <c r="G16" s="524"/>
      <c r="H16" s="524"/>
      <c r="I16" s="524"/>
      <c r="J16" s="131"/>
      <c r="K16" s="131"/>
    </row>
    <row r="17" spans="1:20" ht="48.5" customHeight="1" x14ac:dyDescent="0.35">
      <c r="A17" s="146" t="s">
        <v>155</v>
      </c>
      <c r="B17" s="389" t="s">
        <v>158</v>
      </c>
      <c r="C17" s="390"/>
      <c r="D17" s="391" t="s">
        <v>24</v>
      </c>
      <c r="E17" s="392"/>
      <c r="F17" s="525" t="s">
        <v>25</v>
      </c>
      <c r="G17" s="526"/>
      <c r="H17" s="397" t="s">
        <v>157</v>
      </c>
      <c r="I17" s="397"/>
    </row>
    <row r="18" spans="1:20" ht="48.5" customHeight="1" x14ac:dyDescent="0.35">
      <c r="A18" s="54"/>
      <c r="B18" s="94" t="s">
        <v>159</v>
      </c>
      <c r="C18" s="97" t="s">
        <v>222</v>
      </c>
      <c r="D18" s="94" t="s">
        <v>159</v>
      </c>
      <c r="E18" s="97" t="s">
        <v>222</v>
      </c>
      <c r="F18" s="94" t="s">
        <v>159</v>
      </c>
      <c r="G18" s="97" t="s">
        <v>222</v>
      </c>
      <c r="H18" s="94" t="s">
        <v>159</v>
      </c>
      <c r="I18" s="130" t="s">
        <v>222</v>
      </c>
    </row>
    <row r="19" spans="1:20" ht="19" thickBot="1" x14ac:dyDescent="0.5">
      <c r="A19" s="73">
        <v>1</v>
      </c>
      <c r="B19" s="78">
        <f>$B$13</f>
        <v>114820000</v>
      </c>
      <c r="C19" s="78">
        <f>$D$13</f>
        <v>131000000</v>
      </c>
      <c r="D19" s="78">
        <f>$B$9</f>
        <v>2000000000</v>
      </c>
      <c r="E19" s="78">
        <f>$E$9</f>
        <v>2000000000</v>
      </c>
      <c r="F19" s="79"/>
      <c r="G19" s="79"/>
      <c r="H19" s="79"/>
      <c r="I19" s="79"/>
    </row>
    <row r="20" spans="1:20" ht="18.5" customHeight="1" x14ac:dyDescent="0.45">
      <c r="A20" s="75">
        <v>2</v>
      </c>
      <c r="B20" s="78">
        <f t="shared" ref="B20:B23" si="0">$B$13</f>
        <v>114820000</v>
      </c>
      <c r="C20" s="78">
        <f t="shared" ref="C20:C21" si="1">$D$13</f>
        <v>131000000</v>
      </c>
      <c r="D20" s="78">
        <f t="shared" ref="D20:D23" si="2">$B$9</f>
        <v>2000000000</v>
      </c>
      <c r="E20" s="78">
        <f t="shared" ref="E20:E21" si="3">$E$9</f>
        <v>2000000000</v>
      </c>
      <c r="F20" s="79"/>
      <c r="G20" s="79"/>
      <c r="H20" s="79"/>
      <c r="I20" s="79"/>
      <c r="K20" s="370" t="s">
        <v>232</v>
      </c>
      <c r="L20" s="371"/>
      <c r="M20" s="371"/>
      <c r="N20" s="371"/>
      <c r="O20" s="371"/>
      <c r="P20" s="371"/>
      <c r="Q20" s="371"/>
      <c r="R20" s="371"/>
      <c r="S20" s="371"/>
      <c r="T20" s="372"/>
    </row>
    <row r="21" spans="1:20" ht="18.5" x14ac:dyDescent="0.45">
      <c r="A21" s="75">
        <v>3</v>
      </c>
      <c r="B21" s="78">
        <f t="shared" si="0"/>
        <v>114820000</v>
      </c>
      <c r="C21" s="78">
        <f t="shared" si="1"/>
        <v>131000000</v>
      </c>
      <c r="D21" s="78">
        <f t="shared" si="2"/>
        <v>2000000000</v>
      </c>
      <c r="E21" s="78">
        <f t="shared" si="3"/>
        <v>2000000000</v>
      </c>
      <c r="F21" s="79"/>
      <c r="G21" s="79"/>
      <c r="H21" s="79"/>
      <c r="I21" s="79"/>
      <c r="K21" s="373"/>
      <c r="L21" s="374"/>
      <c r="M21" s="374"/>
      <c r="N21" s="374"/>
      <c r="O21" s="374"/>
      <c r="P21" s="374"/>
      <c r="Q21" s="374"/>
      <c r="R21" s="374"/>
      <c r="S21" s="374"/>
      <c r="T21" s="375"/>
    </row>
    <row r="22" spans="1:20" ht="18.5" x14ac:dyDescent="0.45">
      <c r="A22" s="75">
        <v>4</v>
      </c>
      <c r="B22" s="78">
        <f t="shared" si="0"/>
        <v>114820000</v>
      </c>
      <c r="C22" s="78">
        <f>D13</f>
        <v>131000000</v>
      </c>
      <c r="D22" s="78">
        <f t="shared" si="2"/>
        <v>2000000000</v>
      </c>
      <c r="E22" s="78">
        <f>$E$9*1.1</f>
        <v>2200000000</v>
      </c>
      <c r="F22" s="79"/>
      <c r="G22" s="79"/>
      <c r="H22" s="79"/>
      <c r="I22" s="79"/>
      <c r="K22" s="373"/>
      <c r="L22" s="374"/>
      <c r="M22" s="374"/>
      <c r="N22" s="374"/>
      <c r="O22" s="374"/>
      <c r="P22" s="374"/>
      <c r="Q22" s="374"/>
      <c r="R22" s="374"/>
      <c r="S22" s="374"/>
      <c r="T22" s="375"/>
    </row>
    <row r="23" spans="1:20" ht="18.5" x14ac:dyDescent="0.45">
      <c r="A23" s="75">
        <v>5</v>
      </c>
      <c r="B23" s="78">
        <f t="shared" si="0"/>
        <v>114820000</v>
      </c>
      <c r="C23" s="78">
        <f>D13</f>
        <v>131000000</v>
      </c>
      <c r="D23" s="78">
        <f t="shared" si="2"/>
        <v>2000000000</v>
      </c>
      <c r="E23" s="78">
        <f t="shared" ref="E23:E24" si="4">$E$9*1.1</f>
        <v>2200000000</v>
      </c>
      <c r="F23" s="79"/>
      <c r="G23" s="79"/>
      <c r="H23" s="79"/>
      <c r="I23" s="79"/>
      <c r="J23" s="137"/>
      <c r="K23" s="373"/>
      <c r="L23" s="374"/>
      <c r="M23" s="374"/>
      <c r="N23" s="374"/>
      <c r="O23" s="374"/>
      <c r="P23" s="374"/>
      <c r="Q23" s="374"/>
      <c r="R23" s="374"/>
      <c r="S23" s="374"/>
      <c r="T23" s="375"/>
    </row>
    <row r="24" spans="1:20" ht="18.5" x14ac:dyDescent="0.45">
      <c r="A24" s="75">
        <v>6</v>
      </c>
      <c r="B24" s="80"/>
      <c r="C24" s="80"/>
      <c r="D24" s="81">
        <f>125%*B9</f>
        <v>2500000000</v>
      </c>
      <c r="E24" s="78">
        <f t="shared" si="4"/>
        <v>2200000000</v>
      </c>
      <c r="F24" s="79"/>
      <c r="G24" s="79"/>
      <c r="H24" s="79"/>
      <c r="I24" s="79"/>
      <c r="K24" s="373"/>
      <c r="L24" s="374"/>
      <c r="M24" s="374"/>
      <c r="N24" s="374"/>
      <c r="O24" s="374"/>
      <c r="P24" s="374"/>
      <c r="Q24" s="374"/>
      <c r="R24" s="374"/>
      <c r="S24" s="374"/>
      <c r="T24" s="375"/>
    </row>
    <row r="25" spans="1:20" ht="18.5" x14ac:dyDescent="0.45">
      <c r="A25" s="75">
        <v>7</v>
      </c>
      <c r="B25" s="80"/>
      <c r="C25" s="80"/>
      <c r="D25" s="81">
        <f>D24</f>
        <v>2500000000</v>
      </c>
      <c r="E25" s="78">
        <f>$E$9*1.2</f>
        <v>2400000000</v>
      </c>
      <c r="F25" s="79"/>
      <c r="G25" s="79"/>
      <c r="H25" s="79"/>
      <c r="I25" s="79"/>
      <c r="K25" s="373"/>
      <c r="L25" s="374"/>
      <c r="M25" s="374"/>
      <c r="N25" s="374"/>
      <c r="O25" s="374"/>
      <c r="P25" s="374"/>
      <c r="Q25" s="374"/>
      <c r="R25" s="374"/>
      <c r="S25" s="374"/>
      <c r="T25" s="375"/>
    </row>
    <row r="26" spans="1:20" ht="18.5" x14ac:dyDescent="0.45">
      <c r="A26" s="75">
        <v>8</v>
      </c>
      <c r="B26" s="80"/>
      <c r="C26" s="80"/>
      <c r="D26" s="81">
        <f t="shared" ref="D26:D28" si="5">D25</f>
        <v>2500000000</v>
      </c>
      <c r="E26" s="78">
        <f t="shared" ref="E26:E27" si="6">$E$9*1.2</f>
        <v>2400000000</v>
      </c>
      <c r="F26" s="79"/>
      <c r="G26" s="79"/>
      <c r="H26" s="79"/>
      <c r="I26" s="79"/>
      <c r="K26" s="373"/>
      <c r="L26" s="374"/>
      <c r="M26" s="374"/>
      <c r="N26" s="374"/>
      <c r="O26" s="374"/>
      <c r="P26" s="374"/>
      <c r="Q26" s="374"/>
      <c r="R26" s="374"/>
      <c r="S26" s="374"/>
      <c r="T26" s="375"/>
    </row>
    <row r="27" spans="1:20" ht="18.5" x14ac:dyDescent="0.45">
      <c r="A27" s="75">
        <v>9</v>
      </c>
      <c r="B27" s="80"/>
      <c r="C27" s="80"/>
      <c r="D27" s="81">
        <f t="shared" si="5"/>
        <v>2500000000</v>
      </c>
      <c r="E27" s="78">
        <f t="shared" si="6"/>
        <v>2400000000</v>
      </c>
      <c r="F27" s="79"/>
      <c r="G27" s="79"/>
      <c r="H27" s="79"/>
      <c r="I27" s="79"/>
      <c r="J27" s="28"/>
      <c r="K27" s="373"/>
      <c r="L27" s="374"/>
      <c r="M27" s="374"/>
      <c r="N27" s="374"/>
      <c r="O27" s="374"/>
      <c r="P27" s="374"/>
      <c r="Q27" s="374"/>
      <c r="R27" s="374"/>
      <c r="S27" s="374"/>
      <c r="T27" s="375"/>
    </row>
    <row r="28" spans="1:20" ht="18.5" x14ac:dyDescent="0.45">
      <c r="A28" s="75">
        <v>10</v>
      </c>
      <c r="B28" s="80"/>
      <c r="C28" s="80"/>
      <c r="D28" s="81">
        <f t="shared" si="5"/>
        <v>2500000000</v>
      </c>
      <c r="E28" s="81">
        <f>E9*1.3</f>
        <v>2600000000</v>
      </c>
      <c r="F28" s="79"/>
      <c r="G28" s="79"/>
      <c r="H28" s="79"/>
      <c r="I28" s="79"/>
      <c r="J28" s="28"/>
      <c r="K28" s="373"/>
      <c r="L28" s="374"/>
      <c r="M28" s="374"/>
      <c r="N28" s="374"/>
      <c r="O28" s="374"/>
      <c r="P28" s="374"/>
      <c r="Q28" s="374"/>
      <c r="R28" s="374"/>
      <c r="S28" s="374"/>
      <c r="T28" s="375"/>
    </row>
    <row r="29" spans="1:20" ht="18.5" x14ac:dyDescent="0.45">
      <c r="A29" s="75">
        <v>11</v>
      </c>
      <c r="B29" s="80"/>
      <c r="C29" s="80"/>
      <c r="D29" s="81">
        <f>150%*$B$9</f>
        <v>3000000000</v>
      </c>
      <c r="E29" s="78">
        <f>$E$9*1.3</f>
        <v>2600000000</v>
      </c>
      <c r="F29" s="79"/>
      <c r="G29" s="79"/>
      <c r="H29" s="79"/>
      <c r="I29" s="79"/>
      <c r="J29" s="28"/>
      <c r="K29" s="373"/>
      <c r="L29" s="374"/>
      <c r="M29" s="374"/>
      <c r="N29" s="374"/>
      <c r="O29" s="374"/>
      <c r="P29" s="374"/>
      <c r="Q29" s="374"/>
      <c r="R29" s="374"/>
      <c r="S29" s="374"/>
      <c r="T29" s="375"/>
    </row>
    <row r="30" spans="1:20" ht="18.5" x14ac:dyDescent="0.45">
      <c r="A30" s="75" t="s">
        <v>160</v>
      </c>
      <c r="B30" s="80"/>
      <c r="C30" s="81"/>
      <c r="D30" s="81">
        <f t="shared" ref="D30:D33" si="7">150%*$B$9</f>
        <v>3000000000</v>
      </c>
      <c r="E30" s="78">
        <f t="shared" ref="E30" si="8">$E$9*1.3</f>
        <v>2600000000</v>
      </c>
      <c r="F30" s="128"/>
      <c r="G30" s="79"/>
      <c r="H30" s="78"/>
      <c r="I30" s="79"/>
      <c r="J30" s="28"/>
      <c r="K30" s="373"/>
      <c r="L30" s="374"/>
      <c r="M30" s="374"/>
      <c r="N30" s="374"/>
      <c r="O30" s="374"/>
      <c r="P30" s="374"/>
      <c r="Q30" s="374"/>
      <c r="R30" s="374"/>
      <c r="S30" s="374"/>
      <c r="T30" s="375"/>
    </row>
    <row r="31" spans="1:20" ht="18.5" x14ac:dyDescent="0.45">
      <c r="A31" s="75">
        <v>13</v>
      </c>
      <c r="B31" s="80"/>
      <c r="C31" s="80"/>
      <c r="D31" s="81">
        <f t="shared" si="7"/>
        <v>3000000000</v>
      </c>
      <c r="E31" s="78">
        <f>$E$9*1.4</f>
        <v>2800000000</v>
      </c>
      <c r="F31" s="83">
        <f>D31+B9</f>
        <v>5000000000</v>
      </c>
      <c r="G31" s="78">
        <f>E31+E9</f>
        <v>4800000000</v>
      </c>
      <c r="H31" s="79"/>
      <c r="I31" s="79"/>
      <c r="J31" s="28"/>
      <c r="K31" s="373"/>
      <c r="L31" s="374"/>
      <c r="M31" s="374"/>
      <c r="N31" s="374"/>
      <c r="O31" s="374"/>
      <c r="P31" s="374"/>
      <c r="Q31" s="374"/>
      <c r="R31" s="374"/>
      <c r="S31" s="374"/>
      <c r="T31" s="375"/>
    </row>
    <row r="32" spans="1:20" ht="18.5" x14ac:dyDescent="0.45">
      <c r="A32" s="75" t="s">
        <v>160</v>
      </c>
      <c r="B32" s="80"/>
      <c r="C32" s="80"/>
      <c r="D32" s="81">
        <f t="shared" si="7"/>
        <v>3000000000</v>
      </c>
      <c r="E32" s="78">
        <f>$E$9*1.4</f>
        <v>2800000000</v>
      </c>
      <c r="F32" s="79"/>
      <c r="G32" s="79"/>
      <c r="H32" s="79"/>
      <c r="I32" s="79"/>
      <c r="J32" s="28"/>
      <c r="K32" s="373"/>
      <c r="L32" s="374"/>
      <c r="M32" s="374"/>
      <c r="N32" s="374"/>
      <c r="O32" s="374"/>
      <c r="P32" s="374"/>
      <c r="Q32" s="374"/>
      <c r="R32" s="374"/>
      <c r="S32" s="374"/>
      <c r="T32" s="375"/>
    </row>
    <row r="33" spans="1:20" ht="18.5" x14ac:dyDescent="0.45">
      <c r="A33" s="75" t="s">
        <v>160</v>
      </c>
      <c r="B33" s="80"/>
      <c r="C33" s="80"/>
      <c r="D33" s="81">
        <f t="shared" si="7"/>
        <v>3000000000</v>
      </c>
      <c r="E33" s="78">
        <f t="shared" ref="E33" si="9">$E$9*1.4</f>
        <v>2800000000</v>
      </c>
      <c r="F33" s="79"/>
      <c r="G33" s="79"/>
      <c r="H33" s="79"/>
      <c r="I33" s="79"/>
      <c r="J33" s="28"/>
      <c r="K33" s="373"/>
      <c r="L33" s="374"/>
      <c r="M33" s="374"/>
      <c r="N33" s="374"/>
      <c r="O33" s="374"/>
      <c r="P33" s="374"/>
      <c r="Q33" s="374"/>
      <c r="R33" s="374"/>
      <c r="S33" s="374"/>
      <c r="T33" s="375"/>
    </row>
    <row r="34" spans="1:20" ht="18.5" x14ac:dyDescent="0.45">
      <c r="A34" s="75">
        <v>16</v>
      </c>
      <c r="B34" s="79"/>
      <c r="C34" s="79"/>
      <c r="D34" s="81">
        <f>175%*$B$9</f>
        <v>3500000000</v>
      </c>
      <c r="E34" s="78">
        <f>$E$9*1.5</f>
        <v>3000000000</v>
      </c>
      <c r="F34" s="79"/>
      <c r="G34" s="79"/>
      <c r="H34" s="79"/>
      <c r="I34" s="79"/>
      <c r="J34" s="28"/>
      <c r="K34" s="373"/>
      <c r="L34" s="374"/>
      <c r="M34" s="374"/>
      <c r="N34" s="374"/>
      <c r="O34" s="374"/>
      <c r="P34" s="374"/>
      <c r="Q34" s="374"/>
      <c r="R34" s="374"/>
      <c r="S34" s="374"/>
      <c r="T34" s="375"/>
    </row>
    <row r="35" spans="1:20" ht="18.5" x14ac:dyDescent="0.45">
      <c r="A35" s="75">
        <v>17</v>
      </c>
      <c r="B35" s="79"/>
      <c r="C35" s="79"/>
      <c r="D35" s="81">
        <f t="shared" ref="D35:D38" si="10">175%*$B$9</f>
        <v>3500000000</v>
      </c>
      <c r="E35" s="78">
        <f t="shared" ref="E35:E36" si="11">$E$9*1.5</f>
        <v>3000000000</v>
      </c>
      <c r="F35" s="79"/>
      <c r="G35" s="79"/>
      <c r="H35" s="79"/>
      <c r="I35" s="79"/>
      <c r="K35" s="373"/>
      <c r="L35" s="374"/>
      <c r="M35" s="374"/>
      <c r="N35" s="374"/>
      <c r="O35" s="374"/>
      <c r="P35" s="374"/>
      <c r="Q35" s="374"/>
      <c r="R35" s="374"/>
      <c r="S35" s="374"/>
      <c r="T35" s="375"/>
    </row>
    <row r="36" spans="1:20" ht="18.5" x14ac:dyDescent="0.45">
      <c r="A36" s="75">
        <v>18</v>
      </c>
      <c r="B36" s="79"/>
      <c r="C36" s="79"/>
      <c r="D36" s="81">
        <f t="shared" si="10"/>
        <v>3500000000</v>
      </c>
      <c r="E36" s="78">
        <f t="shared" si="11"/>
        <v>3000000000</v>
      </c>
      <c r="F36" s="79"/>
      <c r="G36" s="79"/>
      <c r="H36" s="79"/>
      <c r="I36" s="79"/>
      <c r="K36" s="373"/>
      <c r="L36" s="374"/>
      <c r="M36" s="374"/>
      <c r="N36" s="374"/>
      <c r="O36" s="374"/>
      <c r="P36" s="374"/>
      <c r="Q36" s="374"/>
      <c r="R36" s="374"/>
      <c r="S36" s="374"/>
      <c r="T36" s="375"/>
    </row>
    <row r="37" spans="1:20" ht="18.5" x14ac:dyDescent="0.45">
      <c r="A37" s="75">
        <v>19</v>
      </c>
      <c r="B37" s="79"/>
      <c r="C37" s="79"/>
      <c r="D37" s="81">
        <f t="shared" si="10"/>
        <v>3500000000</v>
      </c>
      <c r="E37" s="78">
        <f>$E$9*1.6</f>
        <v>3200000000</v>
      </c>
      <c r="F37" s="79"/>
      <c r="G37" s="79"/>
      <c r="H37" s="79"/>
      <c r="I37" s="79"/>
      <c r="K37" s="373"/>
      <c r="L37" s="374"/>
      <c r="M37" s="374"/>
      <c r="N37" s="374"/>
      <c r="O37" s="374"/>
      <c r="P37" s="374"/>
      <c r="Q37" s="374"/>
      <c r="R37" s="374"/>
      <c r="S37" s="374"/>
      <c r="T37" s="375"/>
    </row>
    <row r="38" spans="1:20" ht="18.5" x14ac:dyDescent="0.45">
      <c r="A38" s="75">
        <v>20</v>
      </c>
      <c r="B38" s="79"/>
      <c r="C38" s="79"/>
      <c r="D38" s="81">
        <f t="shared" si="10"/>
        <v>3500000000</v>
      </c>
      <c r="E38" s="78">
        <f t="shared" ref="E38:E39" si="12">$E$9*1.6</f>
        <v>3200000000</v>
      </c>
      <c r="F38" s="79"/>
      <c r="G38" s="79"/>
      <c r="H38" s="79"/>
      <c r="I38" s="79"/>
      <c r="K38" s="373"/>
      <c r="L38" s="374"/>
      <c r="M38" s="374"/>
      <c r="N38" s="374"/>
      <c r="O38" s="374"/>
      <c r="P38" s="374"/>
      <c r="Q38" s="374"/>
      <c r="R38" s="374"/>
      <c r="S38" s="374"/>
      <c r="T38" s="375"/>
    </row>
    <row r="39" spans="1:20" ht="18.5" x14ac:dyDescent="0.35">
      <c r="A39" s="77">
        <v>21</v>
      </c>
      <c r="B39" s="79"/>
      <c r="C39" s="79"/>
      <c r="D39" s="81">
        <f>200%*$B$9</f>
        <v>4000000000</v>
      </c>
      <c r="E39" s="78">
        <f t="shared" si="12"/>
        <v>3200000000</v>
      </c>
      <c r="F39" s="79"/>
      <c r="G39" s="79"/>
      <c r="H39" s="79"/>
      <c r="I39" s="79"/>
      <c r="K39" s="373"/>
      <c r="L39" s="374"/>
      <c r="M39" s="374"/>
      <c r="N39" s="374"/>
      <c r="O39" s="374"/>
      <c r="P39" s="374"/>
      <c r="Q39" s="374"/>
      <c r="R39" s="374"/>
      <c r="S39" s="374"/>
      <c r="T39" s="375"/>
    </row>
    <row r="40" spans="1:20" ht="18.5" x14ac:dyDescent="0.35">
      <c r="A40" s="77">
        <v>22</v>
      </c>
      <c r="B40" s="79"/>
      <c r="C40" s="79"/>
      <c r="D40" s="81">
        <f t="shared" ref="D40:D43" si="13">200%*$B$9</f>
        <v>4000000000</v>
      </c>
      <c r="E40" s="78">
        <f>$E$9*1.7</f>
        <v>3400000000</v>
      </c>
      <c r="F40" s="79"/>
      <c r="G40" s="79"/>
      <c r="H40" s="79"/>
      <c r="I40" s="84"/>
      <c r="K40" s="373"/>
      <c r="L40" s="374"/>
      <c r="M40" s="374"/>
      <c r="N40" s="374"/>
      <c r="O40" s="374"/>
      <c r="P40" s="374"/>
      <c r="Q40" s="374"/>
      <c r="R40" s="374"/>
      <c r="S40" s="374"/>
      <c r="T40" s="375"/>
    </row>
    <row r="41" spans="1:20" ht="18.5" x14ac:dyDescent="0.35">
      <c r="A41" s="77">
        <v>23</v>
      </c>
      <c r="B41" s="79"/>
      <c r="C41" s="79"/>
      <c r="D41" s="81">
        <f t="shared" si="13"/>
        <v>4000000000</v>
      </c>
      <c r="E41" s="78">
        <f t="shared" ref="E41:E42" si="14">$E$9*1.7</f>
        <v>3400000000</v>
      </c>
      <c r="F41" s="79"/>
      <c r="G41" s="79"/>
      <c r="H41" s="79"/>
      <c r="I41" s="79"/>
      <c r="K41" s="373"/>
      <c r="L41" s="374"/>
      <c r="M41" s="374"/>
      <c r="N41" s="374"/>
      <c r="O41" s="374"/>
      <c r="P41" s="374"/>
      <c r="Q41" s="374"/>
      <c r="R41" s="374"/>
      <c r="S41" s="374"/>
      <c r="T41" s="375"/>
    </row>
    <row r="42" spans="1:20" ht="18.5" x14ac:dyDescent="0.35">
      <c r="A42" s="77">
        <v>24</v>
      </c>
      <c r="B42" s="79"/>
      <c r="C42" s="79"/>
      <c r="D42" s="81">
        <f t="shared" si="13"/>
        <v>4000000000</v>
      </c>
      <c r="E42" s="78">
        <f t="shared" si="14"/>
        <v>3400000000</v>
      </c>
      <c r="F42" s="79"/>
      <c r="G42" s="79"/>
      <c r="H42" s="79"/>
      <c r="I42" s="79"/>
      <c r="K42" s="373"/>
      <c r="L42" s="374"/>
      <c r="M42" s="374"/>
      <c r="N42" s="374"/>
      <c r="O42" s="374"/>
      <c r="P42" s="374"/>
      <c r="Q42" s="374"/>
      <c r="R42" s="374"/>
      <c r="S42" s="374"/>
      <c r="T42" s="375"/>
    </row>
    <row r="43" spans="1:20" ht="18.5" x14ac:dyDescent="0.45">
      <c r="A43" s="75">
        <v>25</v>
      </c>
      <c r="B43" s="79"/>
      <c r="C43" s="79"/>
      <c r="D43" s="81">
        <f t="shared" si="13"/>
        <v>4000000000</v>
      </c>
      <c r="E43" s="78">
        <f>$E$9*1.8</f>
        <v>3600000000</v>
      </c>
      <c r="F43" s="79"/>
      <c r="G43" s="79"/>
      <c r="H43" s="79"/>
      <c r="I43" s="79"/>
      <c r="K43" s="373"/>
      <c r="L43" s="374"/>
      <c r="M43" s="374"/>
      <c r="N43" s="374"/>
      <c r="O43" s="374"/>
      <c r="P43" s="374"/>
      <c r="Q43" s="374"/>
      <c r="R43" s="374"/>
      <c r="S43" s="374"/>
      <c r="T43" s="375"/>
    </row>
    <row r="44" spans="1:20" ht="18.5" x14ac:dyDescent="0.45">
      <c r="A44" s="75" t="s">
        <v>160</v>
      </c>
      <c r="B44" s="79"/>
      <c r="C44" s="79"/>
      <c r="D44" s="78"/>
      <c r="E44" s="80" t="s">
        <v>160</v>
      </c>
      <c r="F44" s="79"/>
      <c r="G44" s="79"/>
      <c r="H44" s="79"/>
      <c r="I44" s="79"/>
      <c r="K44" s="373"/>
      <c r="L44" s="374"/>
      <c r="M44" s="374"/>
      <c r="N44" s="374"/>
      <c r="O44" s="374"/>
      <c r="P44" s="374"/>
      <c r="Q44" s="374"/>
      <c r="R44" s="374"/>
      <c r="S44" s="374"/>
      <c r="T44" s="375"/>
    </row>
    <row r="45" spans="1:20" ht="18.5" x14ac:dyDescent="0.35">
      <c r="A45" s="77">
        <v>31</v>
      </c>
      <c r="B45" s="79"/>
      <c r="C45" s="79"/>
      <c r="D45" s="81">
        <f>D43</f>
        <v>4000000000</v>
      </c>
      <c r="E45" s="78">
        <f>$E$9*2</f>
        <v>4000000000</v>
      </c>
      <c r="F45" s="79"/>
      <c r="G45" s="79"/>
      <c r="H45" s="79"/>
      <c r="I45" s="79"/>
      <c r="K45" s="373"/>
      <c r="L45" s="374"/>
      <c r="M45" s="374"/>
      <c r="N45" s="374"/>
      <c r="O45" s="374"/>
      <c r="P45" s="374"/>
      <c r="Q45" s="374"/>
      <c r="R45" s="374"/>
      <c r="S45" s="374"/>
      <c r="T45" s="375"/>
    </row>
    <row r="46" spans="1:20" ht="18.5" x14ac:dyDescent="0.35">
      <c r="A46" s="77" t="s">
        <v>160</v>
      </c>
      <c r="B46" s="79"/>
      <c r="C46" s="79"/>
      <c r="D46" s="78"/>
      <c r="E46" s="80" t="s">
        <v>160</v>
      </c>
      <c r="F46" s="79"/>
      <c r="G46" s="79"/>
      <c r="H46" s="78"/>
      <c r="I46" s="79"/>
      <c r="K46" s="373"/>
      <c r="L46" s="374"/>
      <c r="M46" s="374"/>
      <c r="N46" s="374"/>
      <c r="O46" s="374"/>
      <c r="P46" s="374"/>
      <c r="Q46" s="374"/>
      <c r="R46" s="374"/>
      <c r="S46" s="374"/>
      <c r="T46" s="375"/>
    </row>
    <row r="47" spans="1:20" ht="18.5" x14ac:dyDescent="0.35">
      <c r="A47" s="77">
        <v>34</v>
      </c>
      <c r="B47" s="79"/>
      <c r="C47" s="79"/>
      <c r="D47" s="81">
        <f>D45</f>
        <v>4000000000</v>
      </c>
      <c r="E47" s="78">
        <f>$E$9*2.1</f>
        <v>4200000000</v>
      </c>
      <c r="F47" s="79"/>
      <c r="G47" s="79"/>
      <c r="H47" s="79"/>
      <c r="I47" s="78"/>
      <c r="K47" s="373"/>
      <c r="L47" s="374"/>
      <c r="M47" s="374"/>
      <c r="N47" s="374"/>
      <c r="O47" s="374"/>
      <c r="P47" s="374"/>
      <c r="Q47" s="374"/>
      <c r="R47" s="374"/>
      <c r="S47" s="374"/>
      <c r="T47" s="375"/>
    </row>
    <row r="48" spans="1:20" ht="18.5" x14ac:dyDescent="0.45">
      <c r="A48" s="75" t="s">
        <v>160</v>
      </c>
      <c r="B48" s="125"/>
      <c r="C48" s="125"/>
      <c r="D48" s="125"/>
      <c r="E48" s="125"/>
      <c r="F48" s="125"/>
      <c r="G48" s="125"/>
      <c r="H48" s="125"/>
      <c r="I48" s="125"/>
      <c r="K48" s="373"/>
      <c r="L48" s="374"/>
      <c r="M48" s="374"/>
      <c r="N48" s="374"/>
      <c r="O48" s="374"/>
      <c r="P48" s="374"/>
      <c r="Q48" s="374"/>
      <c r="R48" s="374"/>
      <c r="S48" s="374"/>
      <c r="T48" s="375"/>
    </row>
    <row r="49" spans="1:22" ht="18.5" x14ac:dyDescent="0.45">
      <c r="A49" s="75">
        <v>37</v>
      </c>
      <c r="B49" s="126"/>
      <c r="C49" s="126"/>
      <c r="D49" s="81">
        <f>D47</f>
        <v>4000000000</v>
      </c>
      <c r="E49" s="82">
        <f>$E$9*2.2</f>
        <v>4400000000</v>
      </c>
      <c r="F49" s="126"/>
      <c r="G49" s="126"/>
      <c r="H49" s="126"/>
      <c r="I49" s="126"/>
      <c r="K49" s="373"/>
      <c r="L49" s="374"/>
      <c r="M49" s="374"/>
      <c r="N49" s="374"/>
      <c r="O49" s="374"/>
      <c r="P49" s="374"/>
      <c r="Q49" s="374"/>
      <c r="R49" s="374"/>
      <c r="S49" s="374"/>
      <c r="T49" s="375"/>
    </row>
    <row r="50" spans="1:22" ht="18.5" x14ac:dyDescent="0.45">
      <c r="A50" s="75" t="s">
        <v>160</v>
      </c>
      <c r="B50" s="126"/>
      <c r="C50" s="126"/>
      <c r="D50" s="126"/>
      <c r="E50" s="126"/>
      <c r="F50" s="126"/>
      <c r="G50" s="126"/>
      <c r="H50" s="126"/>
      <c r="I50" s="126"/>
      <c r="K50" s="373"/>
      <c r="L50" s="374"/>
      <c r="M50" s="374"/>
      <c r="N50" s="374"/>
      <c r="O50" s="374"/>
      <c r="P50" s="374"/>
      <c r="Q50" s="374"/>
      <c r="R50" s="374"/>
      <c r="S50" s="374"/>
      <c r="T50" s="375"/>
    </row>
    <row r="51" spans="1:22" ht="19" thickBot="1" x14ac:dyDescent="0.5">
      <c r="A51" s="75">
        <v>64</v>
      </c>
      <c r="B51" s="126"/>
      <c r="C51" s="126"/>
      <c r="D51" s="81">
        <f>D49</f>
        <v>4000000000</v>
      </c>
      <c r="E51" s="78">
        <f>$E$9*3</f>
        <v>6000000000</v>
      </c>
      <c r="F51" s="126"/>
      <c r="G51" s="126"/>
      <c r="H51" s="74">
        <f>D43</f>
        <v>4000000000</v>
      </c>
      <c r="I51" s="127">
        <f>E51</f>
        <v>6000000000</v>
      </c>
      <c r="K51" s="376"/>
      <c r="L51" s="377"/>
      <c r="M51" s="377"/>
      <c r="N51" s="377"/>
      <c r="O51" s="377"/>
      <c r="P51" s="377"/>
      <c r="Q51" s="377"/>
      <c r="R51" s="377"/>
      <c r="S51" s="377"/>
      <c r="T51" s="378"/>
    </row>
    <row r="52" spans="1:22" ht="14.5" customHeight="1" x14ac:dyDescent="0.35">
      <c r="M52" s="120"/>
      <c r="N52" s="120"/>
      <c r="O52" s="120"/>
      <c r="P52" s="120"/>
      <c r="Q52" s="120"/>
      <c r="R52" s="120"/>
      <c r="S52" s="120"/>
      <c r="T52" s="120"/>
      <c r="U52" s="120"/>
      <c r="V52" s="120"/>
    </row>
    <row r="53" spans="1:22" ht="14.5" customHeight="1" x14ac:dyDescent="0.35">
      <c r="M53" s="120"/>
      <c r="N53" s="120"/>
      <c r="O53" s="120"/>
      <c r="P53" s="120"/>
      <c r="Q53" s="120"/>
      <c r="R53" s="120"/>
      <c r="S53" s="120"/>
      <c r="T53" s="120"/>
      <c r="U53" s="120"/>
      <c r="V53" s="120"/>
    </row>
    <row r="54" spans="1:22" ht="14.5" customHeight="1" x14ac:dyDescent="0.35">
      <c r="L54" s="28"/>
      <c r="M54" s="120"/>
      <c r="N54" s="120"/>
      <c r="O54" s="120"/>
      <c r="P54" s="120"/>
      <c r="Q54" s="120"/>
      <c r="R54" s="120"/>
      <c r="S54" s="120"/>
      <c r="T54" s="120"/>
      <c r="U54" s="120"/>
      <c r="V54" s="120"/>
    </row>
    <row r="55" spans="1:22" ht="15" customHeight="1" x14ac:dyDescent="0.35">
      <c r="L55" s="51"/>
      <c r="M55" s="120"/>
      <c r="N55" s="120"/>
      <c r="O55" s="120"/>
      <c r="P55" s="120"/>
      <c r="Q55" s="120"/>
      <c r="R55" s="120"/>
      <c r="S55" s="120"/>
      <c r="T55" s="120"/>
      <c r="U55" s="120"/>
      <c r="V55" s="120"/>
    </row>
  </sheetData>
  <mergeCells count="35">
    <mergeCell ref="H17:I17"/>
    <mergeCell ref="A16:I16"/>
    <mergeCell ref="K20:T51"/>
    <mergeCell ref="F17:G17"/>
    <mergeCell ref="B14:C14"/>
    <mergeCell ref="D14:E14"/>
    <mergeCell ref="B17:C17"/>
    <mergeCell ref="D17:E17"/>
    <mergeCell ref="A11:E11"/>
    <mergeCell ref="B12:C12"/>
    <mergeCell ref="D12:E12"/>
    <mergeCell ref="B13:C13"/>
    <mergeCell ref="D13:E13"/>
    <mergeCell ref="M3:N3"/>
    <mergeCell ref="O3:P3"/>
    <mergeCell ref="G4:H5"/>
    <mergeCell ref="I4:I5"/>
    <mergeCell ref="J4:J5"/>
    <mergeCell ref="M4:N4"/>
    <mergeCell ref="O4:P4"/>
    <mergeCell ref="M5:N5"/>
    <mergeCell ref="O5:P5"/>
    <mergeCell ref="G6:H6"/>
    <mergeCell ref="M6:N6"/>
    <mergeCell ref="O6:P6"/>
    <mergeCell ref="M7:N7"/>
    <mergeCell ref="O7:P7"/>
    <mergeCell ref="A1:E1"/>
    <mergeCell ref="G1:J1"/>
    <mergeCell ref="L1:P1"/>
    <mergeCell ref="A2:B2"/>
    <mergeCell ref="D2:E2"/>
    <mergeCell ref="G2:H2"/>
    <mergeCell ref="M2:N2"/>
    <mergeCell ref="O2:P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CE84D-1279-41C6-BAE1-03622634AB38}">
  <dimension ref="A1:X55"/>
  <sheetViews>
    <sheetView zoomScale="62" zoomScaleNormal="55" workbookViewId="0">
      <pane ySplit="18" topLeftCell="A33" activePane="bottomLeft" state="frozen"/>
      <selection pane="bottomLeft" activeCell="F38" sqref="F38"/>
    </sheetView>
  </sheetViews>
  <sheetFormatPr defaultRowHeight="14.5" outlineLevelRow="1" x14ac:dyDescent="0.35"/>
  <cols>
    <col min="1" max="1" width="23.7265625" customWidth="1"/>
    <col min="2" max="2" width="23.7265625" bestFit="1" customWidth="1"/>
    <col min="3" max="3" width="21.90625" bestFit="1" customWidth="1"/>
    <col min="4" max="5" width="24.453125" bestFit="1" customWidth="1"/>
    <col min="6" max="7" width="24.453125" customWidth="1"/>
    <col min="8" max="8" width="24.453125" bestFit="1" customWidth="1"/>
    <col min="9" max="9" width="23.26953125" customWidth="1"/>
    <col min="10" max="10" width="24.6328125" customWidth="1"/>
    <col min="11" max="11" width="24.453125" bestFit="1" customWidth="1"/>
    <col min="12" max="12" width="30.1796875" customWidth="1"/>
    <col min="13" max="13" width="23.6328125" bestFit="1" customWidth="1"/>
    <col min="14" max="14" width="19.26953125" customWidth="1"/>
    <col min="15" max="15" width="21.7265625" customWidth="1"/>
    <col min="16" max="16" width="9" customWidth="1"/>
    <col min="18" max="18" width="12.54296875" customWidth="1"/>
  </cols>
  <sheetData>
    <row r="1" spans="1:18" ht="21" outlineLevel="1" x14ac:dyDescent="0.35">
      <c r="A1" s="380" t="s">
        <v>170</v>
      </c>
      <c r="B1" s="380"/>
      <c r="C1" s="380"/>
      <c r="D1" s="380"/>
      <c r="E1" s="380"/>
      <c r="F1" s="138"/>
      <c r="G1" s="138"/>
      <c r="H1" s="53"/>
      <c r="I1" s="380" t="s">
        <v>190</v>
      </c>
      <c r="J1" s="380"/>
      <c r="K1" s="380"/>
      <c r="L1" s="380"/>
      <c r="N1" s="380" t="s">
        <v>198</v>
      </c>
      <c r="O1" s="380"/>
      <c r="P1" s="380"/>
      <c r="Q1" s="380"/>
      <c r="R1" s="380"/>
    </row>
    <row r="2" spans="1:18" ht="18.5" outlineLevel="1" x14ac:dyDescent="0.45">
      <c r="A2" s="404" t="s">
        <v>114</v>
      </c>
      <c r="B2" s="405"/>
      <c r="C2" s="65"/>
      <c r="D2" s="406" t="s">
        <v>222</v>
      </c>
      <c r="E2" s="406"/>
      <c r="F2" s="139"/>
      <c r="G2" s="139"/>
      <c r="H2" s="53"/>
      <c r="I2" s="520" t="s">
        <v>33</v>
      </c>
      <c r="J2" s="520"/>
      <c r="K2" s="133" t="s">
        <v>114</v>
      </c>
      <c r="L2" s="134" t="s">
        <v>222</v>
      </c>
      <c r="M2" s="68"/>
      <c r="N2" s="90"/>
      <c r="O2" s="381" t="s">
        <v>114</v>
      </c>
      <c r="P2" s="381"/>
      <c r="Q2" s="385" t="s">
        <v>222</v>
      </c>
      <c r="R2" s="385"/>
    </row>
    <row r="3" spans="1:18" ht="23.5" outlineLevel="1" x14ac:dyDescent="0.45">
      <c r="A3" s="86" t="s">
        <v>110</v>
      </c>
      <c r="B3" s="76" t="s">
        <v>21</v>
      </c>
      <c r="C3" s="65"/>
      <c r="D3" s="86" t="s">
        <v>110</v>
      </c>
      <c r="E3" s="76" t="s">
        <v>21</v>
      </c>
      <c r="F3" s="140"/>
      <c r="G3" s="140"/>
      <c r="H3" s="53"/>
      <c r="I3" s="86" t="s">
        <v>191</v>
      </c>
      <c r="J3" s="132"/>
      <c r="K3" s="135" t="s">
        <v>193</v>
      </c>
      <c r="L3" s="135" t="s">
        <v>193</v>
      </c>
      <c r="M3" s="65"/>
      <c r="N3" s="106" t="s">
        <v>111</v>
      </c>
      <c r="O3" s="382" t="s">
        <v>201</v>
      </c>
      <c r="P3" s="382"/>
      <c r="Q3" s="386" t="s">
        <v>227</v>
      </c>
      <c r="R3" s="386"/>
    </row>
    <row r="4" spans="1:18" ht="18.5" outlineLevel="1" x14ac:dyDescent="0.45">
      <c r="A4" s="86" t="s">
        <v>111</v>
      </c>
      <c r="B4" s="76" t="s">
        <v>145</v>
      </c>
      <c r="C4" s="65"/>
      <c r="D4" s="86" t="s">
        <v>111</v>
      </c>
      <c r="E4" s="87" t="s">
        <v>179</v>
      </c>
      <c r="F4" s="141"/>
      <c r="G4" s="141"/>
      <c r="H4" s="53"/>
      <c r="I4" s="521" t="s">
        <v>192</v>
      </c>
      <c r="J4" s="521"/>
      <c r="K4" s="522" t="s">
        <v>193</v>
      </c>
      <c r="L4" s="523" t="s">
        <v>194</v>
      </c>
      <c r="M4" s="65"/>
      <c r="N4" s="90" t="s">
        <v>200</v>
      </c>
      <c r="O4" s="383" t="s">
        <v>202</v>
      </c>
      <c r="P4" s="384"/>
      <c r="Q4" s="387" t="s">
        <v>228</v>
      </c>
      <c r="R4" s="388"/>
    </row>
    <row r="5" spans="1:18" ht="18.5" outlineLevel="1" x14ac:dyDescent="0.45">
      <c r="A5" s="88" t="s">
        <v>7</v>
      </c>
      <c r="B5" s="76" t="s">
        <v>118</v>
      </c>
      <c r="C5" s="65"/>
      <c r="D5" s="86" t="s">
        <v>7</v>
      </c>
      <c r="E5" s="129" t="s">
        <v>225</v>
      </c>
      <c r="F5" s="142"/>
      <c r="G5" s="142"/>
      <c r="H5" s="53"/>
      <c r="I5" s="521"/>
      <c r="J5" s="521"/>
      <c r="K5" s="522"/>
      <c r="L5" s="523"/>
      <c r="M5" s="65"/>
      <c r="N5" s="90" t="s">
        <v>199</v>
      </c>
      <c r="O5" s="383" t="s">
        <v>43</v>
      </c>
      <c r="P5" s="384"/>
      <c r="Q5" s="383" t="s">
        <v>46</v>
      </c>
      <c r="R5" s="384"/>
    </row>
    <row r="6" spans="1:18" ht="37.5" customHeight="1" outlineLevel="1" x14ac:dyDescent="0.45">
      <c r="A6" s="88" t="s">
        <v>112</v>
      </c>
      <c r="B6" s="76" t="s">
        <v>113</v>
      </c>
      <c r="C6" s="65"/>
      <c r="D6" s="90" t="s">
        <v>112</v>
      </c>
      <c r="E6" s="76" t="s">
        <v>113</v>
      </c>
      <c r="F6" s="140"/>
      <c r="G6" s="140"/>
      <c r="H6" s="53"/>
      <c r="I6" s="521" t="s">
        <v>226</v>
      </c>
      <c r="J6" s="521"/>
      <c r="K6" s="136" t="s">
        <v>194</v>
      </c>
      <c r="L6" s="71" t="s">
        <v>193</v>
      </c>
      <c r="M6" s="65"/>
      <c r="N6" s="107" t="s">
        <v>110</v>
      </c>
      <c r="O6" s="383" t="s">
        <v>21</v>
      </c>
      <c r="P6" s="384"/>
      <c r="Q6" s="383" t="s">
        <v>21</v>
      </c>
      <c r="R6" s="384"/>
    </row>
    <row r="7" spans="1:18" ht="23.5" outlineLevel="1" x14ac:dyDescent="0.45">
      <c r="A7" s="88" t="s">
        <v>121</v>
      </c>
      <c r="B7" s="76" t="s">
        <v>176</v>
      </c>
      <c r="C7" s="65"/>
      <c r="D7" s="90" t="s">
        <v>10</v>
      </c>
      <c r="E7" s="76" t="s">
        <v>176</v>
      </c>
      <c r="F7" s="140"/>
      <c r="G7" s="140"/>
      <c r="H7" s="53"/>
      <c r="I7" s="379" t="s">
        <v>27</v>
      </c>
      <c r="J7" s="379"/>
      <c r="K7" s="135" t="s">
        <v>230</v>
      </c>
      <c r="L7" s="135" t="s">
        <v>231</v>
      </c>
      <c r="M7" s="67"/>
      <c r="N7" s="107" t="s">
        <v>91</v>
      </c>
      <c r="O7" s="382" t="s">
        <v>92</v>
      </c>
      <c r="P7" s="382"/>
      <c r="Q7" s="386" t="s">
        <v>93</v>
      </c>
      <c r="R7" s="386"/>
    </row>
    <row r="8" spans="1:18" ht="26" outlineLevel="1" x14ac:dyDescent="0.45">
      <c r="A8" s="90" t="s">
        <v>12</v>
      </c>
      <c r="B8" s="76" t="s">
        <v>152</v>
      </c>
      <c r="C8" s="65"/>
      <c r="D8" s="90" t="s">
        <v>12</v>
      </c>
      <c r="E8" s="76" t="s">
        <v>229</v>
      </c>
      <c r="F8" s="140"/>
      <c r="G8" s="140"/>
      <c r="H8" s="53"/>
      <c r="I8" s="86" t="s">
        <v>195</v>
      </c>
      <c r="J8" s="86"/>
      <c r="K8" s="135" t="s">
        <v>193</v>
      </c>
      <c r="L8" s="136" t="s">
        <v>194</v>
      </c>
    </row>
    <row r="9" spans="1:18" ht="23.5" outlineLevel="1" x14ac:dyDescent="0.45">
      <c r="A9" s="90" t="s">
        <v>117</v>
      </c>
      <c r="B9" s="74">
        <v>2000000000</v>
      </c>
      <c r="C9" s="65"/>
      <c r="D9" s="86" t="s">
        <v>117</v>
      </c>
      <c r="E9" s="74">
        <v>2000000000</v>
      </c>
      <c r="F9" s="91"/>
      <c r="G9" s="91"/>
      <c r="H9" s="53"/>
      <c r="I9" s="86" t="s">
        <v>28</v>
      </c>
      <c r="J9" s="86"/>
      <c r="K9" s="135" t="s">
        <v>193</v>
      </c>
      <c r="L9" s="135" t="s">
        <v>193</v>
      </c>
      <c r="M9" s="53"/>
    </row>
    <row r="10" spans="1:18" ht="23.5" x14ac:dyDescent="0.35">
      <c r="A10" s="53"/>
      <c r="B10" s="53"/>
      <c r="C10" s="53"/>
      <c r="D10" s="53"/>
      <c r="E10" s="53"/>
      <c r="F10" s="53"/>
      <c r="G10" s="53"/>
      <c r="H10" s="53"/>
      <c r="I10" s="86" t="s">
        <v>29</v>
      </c>
      <c r="J10" s="86"/>
      <c r="K10" s="135" t="s">
        <v>193</v>
      </c>
      <c r="L10" s="135" t="s">
        <v>193</v>
      </c>
      <c r="M10" s="53"/>
      <c r="N10" s="118"/>
    </row>
    <row r="11" spans="1:18" ht="23.5" customHeight="1" x14ac:dyDescent="0.5">
      <c r="A11" s="393" t="s">
        <v>119</v>
      </c>
      <c r="B11" s="393"/>
      <c r="C11" s="393"/>
      <c r="D11" s="393"/>
      <c r="E11" s="393"/>
      <c r="F11" s="143"/>
      <c r="G11" s="143"/>
      <c r="H11" s="53"/>
      <c r="I11" s="86" t="s">
        <v>213</v>
      </c>
      <c r="J11" s="86"/>
      <c r="K11" s="135" t="s">
        <v>193</v>
      </c>
      <c r="L11" s="136" t="s">
        <v>194</v>
      </c>
      <c r="M11" s="53"/>
      <c r="N11" s="118"/>
      <c r="O11" s="28"/>
    </row>
    <row r="12" spans="1:18" ht="18.5" x14ac:dyDescent="0.45">
      <c r="A12" s="92"/>
      <c r="B12" s="381" t="s">
        <v>114</v>
      </c>
      <c r="C12" s="381"/>
      <c r="D12" s="385" t="s">
        <v>222</v>
      </c>
      <c r="E12" s="385"/>
      <c r="F12" s="139"/>
      <c r="G12" s="139"/>
      <c r="H12" s="55"/>
      <c r="I12" s="53"/>
      <c r="J12" s="117"/>
      <c r="K12" s="53"/>
      <c r="L12" s="53"/>
      <c r="N12" s="118"/>
      <c r="O12" s="28"/>
    </row>
    <row r="13" spans="1:18" ht="18.5" x14ac:dyDescent="0.45">
      <c r="A13" s="54" t="s">
        <v>150</v>
      </c>
      <c r="B13" s="401">
        <f>'Premi H+ 2 bio'!AL45*'Heritage+ vs AIA WPP (LB)'!B9/1000</f>
        <v>163660000</v>
      </c>
      <c r="C13" s="401"/>
      <c r="D13" s="401">
        <v>172000000</v>
      </c>
      <c r="E13" s="401"/>
      <c r="F13" s="144"/>
      <c r="G13" s="144"/>
      <c r="H13" s="53"/>
      <c r="I13" s="117"/>
      <c r="K13" s="53"/>
      <c r="L13" s="53"/>
      <c r="M13" s="53"/>
      <c r="N13" s="118"/>
      <c r="O13" s="28"/>
    </row>
    <row r="14" spans="1:18" ht="18.5" x14ac:dyDescent="0.45">
      <c r="A14" s="54" t="s">
        <v>120</v>
      </c>
      <c r="B14" s="407">
        <f>B13*5</f>
        <v>818300000</v>
      </c>
      <c r="C14" s="407"/>
      <c r="D14" s="402">
        <f>D13*5</f>
        <v>860000000</v>
      </c>
      <c r="E14" s="403"/>
      <c r="F14" s="145"/>
      <c r="G14" s="145"/>
      <c r="H14" s="58"/>
      <c r="I14" s="53"/>
      <c r="J14" s="53"/>
      <c r="K14" s="53"/>
      <c r="L14" s="53"/>
      <c r="M14" s="53"/>
      <c r="N14" s="118"/>
    </row>
    <row r="15" spans="1:18" ht="18.5" x14ac:dyDescent="0.35">
      <c r="A15" s="53"/>
      <c r="B15" s="53"/>
      <c r="C15" s="53"/>
      <c r="D15" s="53"/>
      <c r="E15" s="53"/>
      <c r="F15" s="53"/>
      <c r="G15" s="53"/>
      <c r="H15" s="53"/>
      <c r="I15" s="53"/>
      <c r="J15" s="53"/>
      <c r="K15" s="53"/>
      <c r="L15" s="53"/>
      <c r="M15" s="53"/>
      <c r="N15" s="118"/>
    </row>
    <row r="16" spans="1:18" ht="21" x14ac:dyDescent="0.5">
      <c r="A16" s="393" t="s">
        <v>153</v>
      </c>
      <c r="B16" s="393"/>
      <c r="C16" s="393"/>
      <c r="D16" s="393"/>
      <c r="E16" s="393"/>
      <c r="F16" s="393"/>
      <c r="G16" s="393"/>
      <c r="H16" s="393"/>
      <c r="I16" s="393"/>
      <c r="J16" s="393"/>
      <c r="K16" s="393"/>
      <c r="L16" s="131"/>
      <c r="M16" s="131"/>
    </row>
    <row r="17" spans="1:22" ht="48.5" customHeight="1" x14ac:dyDescent="0.45">
      <c r="A17" s="92" t="s">
        <v>155</v>
      </c>
      <c r="B17" s="389" t="s">
        <v>158</v>
      </c>
      <c r="C17" s="390"/>
      <c r="D17" s="391" t="s">
        <v>24</v>
      </c>
      <c r="E17" s="392"/>
      <c r="F17" s="391" t="s">
        <v>27</v>
      </c>
      <c r="G17" s="392"/>
      <c r="H17" s="525" t="s">
        <v>25</v>
      </c>
      <c r="I17" s="526"/>
      <c r="J17" s="397" t="s">
        <v>157</v>
      </c>
      <c r="K17" s="389"/>
    </row>
    <row r="18" spans="1:22" ht="48.5" customHeight="1" x14ac:dyDescent="0.35">
      <c r="A18" s="54"/>
      <c r="B18" s="94" t="s">
        <v>159</v>
      </c>
      <c r="C18" s="97" t="s">
        <v>222</v>
      </c>
      <c r="D18" s="94" t="s">
        <v>159</v>
      </c>
      <c r="E18" s="97" t="s">
        <v>222</v>
      </c>
      <c r="F18" s="94" t="s">
        <v>159</v>
      </c>
      <c r="G18" s="97" t="s">
        <v>222</v>
      </c>
      <c r="H18" s="94" t="s">
        <v>159</v>
      </c>
      <c r="I18" s="97" t="s">
        <v>222</v>
      </c>
      <c r="J18" s="94" t="s">
        <v>159</v>
      </c>
      <c r="K18" s="130" t="s">
        <v>222</v>
      </c>
    </row>
    <row r="19" spans="1:22" ht="19" thickBot="1" x14ac:dyDescent="0.5">
      <c r="A19" s="73">
        <v>1</v>
      </c>
      <c r="B19" s="78">
        <f>$B$13</f>
        <v>163660000</v>
      </c>
      <c r="C19" s="78">
        <f>$D$13</f>
        <v>172000000</v>
      </c>
      <c r="D19" s="78">
        <f>$B$9</f>
        <v>2000000000</v>
      </c>
      <c r="E19" s="78">
        <f>$E$9</f>
        <v>2000000000</v>
      </c>
      <c r="F19" s="78"/>
      <c r="G19" s="78"/>
      <c r="H19" s="79"/>
      <c r="I19" s="79"/>
      <c r="J19" s="79"/>
      <c r="K19" s="79"/>
    </row>
    <row r="20" spans="1:22" ht="18.5" customHeight="1" x14ac:dyDescent="0.45">
      <c r="A20" s="75">
        <v>2</v>
      </c>
      <c r="B20" s="78">
        <f t="shared" ref="B20:B23" si="0">$B$13</f>
        <v>163660000</v>
      </c>
      <c r="C20" s="78">
        <f t="shared" ref="C20:C21" si="1">$D$13</f>
        <v>172000000</v>
      </c>
      <c r="D20" s="78">
        <f t="shared" ref="D20:D23" si="2">$B$9</f>
        <v>2000000000</v>
      </c>
      <c r="E20" s="78">
        <f t="shared" ref="E20:E21" si="3">$E$9</f>
        <v>2000000000</v>
      </c>
      <c r="F20" s="78"/>
      <c r="G20" s="78"/>
      <c r="H20" s="79"/>
      <c r="I20" s="79"/>
      <c r="J20" s="79"/>
      <c r="K20" s="79"/>
      <c r="M20" s="370" t="s">
        <v>233</v>
      </c>
      <c r="N20" s="371"/>
      <c r="O20" s="371"/>
      <c r="P20" s="371"/>
      <c r="Q20" s="371"/>
      <c r="R20" s="371"/>
      <c r="S20" s="371"/>
      <c r="T20" s="371"/>
      <c r="U20" s="371"/>
      <c r="V20" s="372"/>
    </row>
    <row r="21" spans="1:22" ht="18.5" x14ac:dyDescent="0.45">
      <c r="A21" s="75">
        <v>3</v>
      </c>
      <c r="B21" s="78">
        <f t="shared" si="0"/>
        <v>163660000</v>
      </c>
      <c r="C21" s="78">
        <f t="shared" si="1"/>
        <v>172000000</v>
      </c>
      <c r="D21" s="78">
        <f t="shared" si="2"/>
        <v>2000000000</v>
      </c>
      <c r="E21" s="78">
        <f t="shared" si="3"/>
        <v>2000000000</v>
      </c>
      <c r="F21" s="78"/>
      <c r="G21" s="78"/>
      <c r="H21" s="79"/>
      <c r="I21" s="79"/>
      <c r="J21" s="79"/>
      <c r="K21" s="79"/>
      <c r="M21" s="373"/>
      <c r="N21" s="374"/>
      <c r="O21" s="374"/>
      <c r="P21" s="374"/>
      <c r="Q21" s="374"/>
      <c r="R21" s="374"/>
      <c r="S21" s="374"/>
      <c r="T21" s="374"/>
      <c r="U21" s="374"/>
      <c r="V21" s="375"/>
    </row>
    <row r="22" spans="1:22" ht="18.5" x14ac:dyDescent="0.45">
      <c r="A22" s="75">
        <v>4</v>
      </c>
      <c r="B22" s="78">
        <f t="shared" si="0"/>
        <v>163660000</v>
      </c>
      <c r="C22" s="78">
        <f>D13</f>
        <v>172000000</v>
      </c>
      <c r="D22" s="78">
        <f t="shared" si="2"/>
        <v>2000000000</v>
      </c>
      <c r="E22" s="78">
        <f>$E$9*1.1</f>
        <v>2200000000</v>
      </c>
      <c r="F22" s="78"/>
      <c r="G22" s="78"/>
      <c r="H22" s="79"/>
      <c r="I22" s="79"/>
      <c r="J22" s="79"/>
      <c r="K22" s="79"/>
      <c r="M22" s="373"/>
      <c r="N22" s="374"/>
      <c r="O22" s="374"/>
      <c r="P22" s="374"/>
      <c r="Q22" s="374"/>
      <c r="R22" s="374"/>
      <c r="S22" s="374"/>
      <c r="T22" s="374"/>
      <c r="U22" s="374"/>
      <c r="V22" s="375"/>
    </row>
    <row r="23" spans="1:22" ht="18.5" x14ac:dyDescent="0.45">
      <c r="A23" s="75">
        <v>5</v>
      </c>
      <c r="B23" s="78">
        <f t="shared" si="0"/>
        <v>163660000</v>
      </c>
      <c r="C23" s="78">
        <f>D13</f>
        <v>172000000</v>
      </c>
      <c r="D23" s="78">
        <f t="shared" si="2"/>
        <v>2000000000</v>
      </c>
      <c r="E23" s="78">
        <f t="shared" ref="E23:E24" si="4">$E$9*1.1</f>
        <v>2200000000</v>
      </c>
      <c r="F23" s="78"/>
      <c r="G23" s="78"/>
      <c r="H23" s="79"/>
      <c r="I23" s="79"/>
      <c r="J23" s="79"/>
      <c r="K23" s="79"/>
      <c r="L23" s="137"/>
      <c r="M23" s="373"/>
      <c r="N23" s="374"/>
      <c r="O23" s="374"/>
      <c r="P23" s="374"/>
      <c r="Q23" s="374"/>
      <c r="R23" s="374"/>
      <c r="S23" s="374"/>
      <c r="T23" s="374"/>
      <c r="U23" s="374"/>
      <c r="V23" s="375"/>
    </row>
    <row r="24" spans="1:22" ht="18.5" x14ac:dyDescent="0.45">
      <c r="A24" s="75">
        <v>6</v>
      </c>
      <c r="B24" s="80"/>
      <c r="C24" s="80"/>
      <c r="D24" s="81">
        <f>125%*B9</f>
        <v>2500000000</v>
      </c>
      <c r="E24" s="78">
        <f t="shared" si="4"/>
        <v>2200000000</v>
      </c>
      <c r="F24" s="78"/>
      <c r="G24" s="78"/>
      <c r="H24" s="79"/>
      <c r="I24" s="79"/>
      <c r="J24" s="79"/>
      <c r="K24" s="79"/>
      <c r="M24" s="373"/>
      <c r="N24" s="374"/>
      <c r="O24" s="374"/>
      <c r="P24" s="374"/>
      <c r="Q24" s="374"/>
      <c r="R24" s="374"/>
      <c r="S24" s="374"/>
      <c r="T24" s="374"/>
      <c r="U24" s="374"/>
      <c r="V24" s="375"/>
    </row>
    <row r="25" spans="1:22" ht="18.5" x14ac:dyDescent="0.45">
      <c r="A25" s="75">
        <v>7</v>
      </c>
      <c r="B25" s="80"/>
      <c r="C25" s="80"/>
      <c r="D25" s="81">
        <f>D24</f>
        <v>2500000000</v>
      </c>
      <c r="E25" s="78">
        <f>$E$9*1.2</f>
        <v>2400000000</v>
      </c>
      <c r="F25" s="78"/>
      <c r="G25" s="78"/>
      <c r="H25" s="79"/>
      <c r="I25" s="79"/>
      <c r="J25" s="79"/>
      <c r="K25" s="79"/>
      <c r="M25" s="373"/>
      <c r="N25" s="374"/>
      <c r="O25" s="374"/>
      <c r="P25" s="374"/>
      <c r="Q25" s="374"/>
      <c r="R25" s="374"/>
      <c r="S25" s="374"/>
      <c r="T25" s="374"/>
      <c r="U25" s="374"/>
      <c r="V25" s="375"/>
    </row>
    <row r="26" spans="1:22" ht="18.5" x14ac:dyDescent="0.45">
      <c r="A26" s="75">
        <v>8</v>
      </c>
      <c r="B26" s="80"/>
      <c r="C26" s="80"/>
      <c r="D26" s="81">
        <f t="shared" ref="D26:D28" si="5">D25</f>
        <v>2500000000</v>
      </c>
      <c r="E26" s="78">
        <f t="shared" ref="E26:E27" si="6">$E$9*1.2</f>
        <v>2400000000</v>
      </c>
      <c r="F26" s="78"/>
      <c r="G26" s="78"/>
      <c r="H26" s="79"/>
      <c r="I26" s="79"/>
      <c r="J26" s="79"/>
      <c r="K26" s="79"/>
      <c r="M26" s="373"/>
      <c r="N26" s="374"/>
      <c r="O26" s="374"/>
      <c r="P26" s="374"/>
      <c r="Q26" s="374"/>
      <c r="R26" s="374"/>
      <c r="S26" s="374"/>
      <c r="T26" s="374"/>
      <c r="U26" s="374"/>
      <c r="V26" s="375"/>
    </row>
    <row r="27" spans="1:22" ht="18.5" x14ac:dyDescent="0.45">
      <c r="A27" s="75">
        <v>9</v>
      </c>
      <c r="B27" s="80"/>
      <c r="C27" s="80"/>
      <c r="D27" s="81">
        <f t="shared" si="5"/>
        <v>2500000000</v>
      </c>
      <c r="E27" s="78">
        <f t="shared" si="6"/>
        <v>2400000000</v>
      </c>
      <c r="F27" s="78"/>
      <c r="G27" s="78"/>
      <c r="H27" s="79"/>
      <c r="I27" s="79"/>
      <c r="J27" s="79"/>
      <c r="K27" s="79"/>
      <c r="L27" s="28"/>
      <c r="M27" s="373"/>
      <c r="N27" s="374"/>
      <c r="O27" s="374"/>
      <c r="P27" s="374"/>
      <c r="Q27" s="374"/>
      <c r="R27" s="374"/>
      <c r="S27" s="374"/>
      <c r="T27" s="374"/>
      <c r="U27" s="374"/>
      <c r="V27" s="375"/>
    </row>
    <row r="28" spans="1:22" ht="18.5" x14ac:dyDescent="0.45">
      <c r="A28" s="75">
        <v>10</v>
      </c>
      <c r="B28" s="80"/>
      <c r="C28" s="80"/>
      <c r="D28" s="81">
        <f t="shared" si="5"/>
        <v>2500000000</v>
      </c>
      <c r="E28" s="81">
        <f>E9*1.3</f>
        <v>2600000000</v>
      </c>
      <c r="F28" s="81"/>
      <c r="G28" s="81"/>
      <c r="H28" s="79"/>
      <c r="I28" s="79"/>
      <c r="J28" s="79"/>
      <c r="K28" s="79"/>
      <c r="L28" s="28"/>
      <c r="M28" s="373"/>
      <c r="N28" s="374"/>
      <c r="O28" s="374"/>
      <c r="P28" s="374"/>
      <c r="Q28" s="374"/>
      <c r="R28" s="374"/>
      <c r="S28" s="374"/>
      <c r="T28" s="374"/>
      <c r="U28" s="374"/>
      <c r="V28" s="375"/>
    </row>
    <row r="29" spans="1:22" ht="18.5" x14ac:dyDescent="0.45">
      <c r="A29" s="75">
        <v>11</v>
      </c>
      <c r="B29" s="80"/>
      <c r="C29" s="80"/>
      <c r="D29" s="81">
        <f>150%*$B$9</f>
        <v>3000000000</v>
      </c>
      <c r="E29" s="78">
        <f>$E$9*1.3</f>
        <v>2600000000</v>
      </c>
      <c r="F29" s="78"/>
      <c r="G29" s="78"/>
      <c r="H29" s="79"/>
      <c r="I29" s="79"/>
      <c r="J29" s="79"/>
      <c r="K29" s="79"/>
      <c r="L29" s="28"/>
      <c r="M29" s="373"/>
      <c r="N29" s="374"/>
      <c r="O29" s="374"/>
      <c r="P29" s="374"/>
      <c r="Q29" s="374"/>
      <c r="R29" s="374"/>
      <c r="S29" s="374"/>
      <c r="T29" s="374"/>
      <c r="U29" s="374"/>
      <c r="V29" s="375"/>
    </row>
    <row r="30" spans="1:22" ht="18.5" x14ac:dyDescent="0.45">
      <c r="A30" s="75" t="s">
        <v>160</v>
      </c>
      <c r="B30" s="80"/>
      <c r="C30" s="81"/>
      <c r="D30" s="81">
        <f t="shared" ref="D30:D33" si="7">150%*$B$9</f>
        <v>3000000000</v>
      </c>
      <c r="E30" s="78">
        <f t="shared" ref="E30" si="8">$E$9*1.3</f>
        <v>2600000000</v>
      </c>
      <c r="F30" s="78"/>
      <c r="G30" s="78"/>
      <c r="H30" s="128"/>
      <c r="I30" s="79"/>
      <c r="J30" s="78"/>
      <c r="K30" s="79"/>
      <c r="L30" s="28"/>
      <c r="M30" s="373"/>
      <c r="N30" s="374"/>
      <c r="O30" s="374"/>
      <c r="P30" s="374"/>
      <c r="Q30" s="374"/>
      <c r="R30" s="374"/>
      <c r="S30" s="374"/>
      <c r="T30" s="374"/>
      <c r="U30" s="374"/>
      <c r="V30" s="375"/>
    </row>
    <row r="31" spans="1:22" ht="18.5" x14ac:dyDescent="0.45">
      <c r="A31" s="75">
        <v>13</v>
      </c>
      <c r="B31" s="80"/>
      <c r="C31" s="80"/>
      <c r="D31" s="81">
        <f t="shared" si="7"/>
        <v>3000000000</v>
      </c>
      <c r="E31" s="78">
        <f>$E$9*1.4</f>
        <v>2800000000</v>
      </c>
      <c r="F31" s="78"/>
      <c r="G31" s="78"/>
      <c r="H31" s="83">
        <f>D31+B9</f>
        <v>5000000000</v>
      </c>
      <c r="I31" s="78">
        <f>E31+E9</f>
        <v>4800000000</v>
      </c>
      <c r="J31" s="79"/>
      <c r="K31" s="79"/>
      <c r="L31" s="28"/>
      <c r="M31" s="373"/>
      <c r="N31" s="374"/>
      <c r="O31" s="374"/>
      <c r="P31" s="374"/>
      <c r="Q31" s="374"/>
      <c r="R31" s="374"/>
      <c r="S31" s="374"/>
      <c r="T31" s="374"/>
      <c r="U31" s="374"/>
      <c r="V31" s="375"/>
    </row>
    <row r="32" spans="1:22" ht="18.5" x14ac:dyDescent="0.45">
      <c r="A32" s="75" t="s">
        <v>160</v>
      </c>
      <c r="B32" s="80"/>
      <c r="C32" s="80"/>
      <c r="D32" s="81">
        <f t="shared" si="7"/>
        <v>3000000000</v>
      </c>
      <c r="E32" s="78">
        <f>$E$9*1.4</f>
        <v>2800000000</v>
      </c>
      <c r="F32" s="78"/>
      <c r="G32" s="78"/>
      <c r="H32" s="79"/>
      <c r="I32" s="79"/>
      <c r="J32" s="79"/>
      <c r="K32" s="79"/>
      <c r="L32" s="28"/>
      <c r="M32" s="373"/>
      <c r="N32" s="374"/>
      <c r="O32" s="374"/>
      <c r="P32" s="374"/>
      <c r="Q32" s="374"/>
      <c r="R32" s="374"/>
      <c r="S32" s="374"/>
      <c r="T32" s="374"/>
      <c r="U32" s="374"/>
      <c r="V32" s="375"/>
    </row>
    <row r="33" spans="1:22" ht="18.5" x14ac:dyDescent="0.45">
      <c r="A33" s="75" t="s">
        <v>160</v>
      </c>
      <c r="B33" s="80"/>
      <c r="C33" s="80"/>
      <c r="D33" s="81">
        <f t="shared" si="7"/>
        <v>3000000000</v>
      </c>
      <c r="E33" s="78">
        <f t="shared" ref="E33" si="9">$E$9*1.4</f>
        <v>2800000000</v>
      </c>
      <c r="F33" s="78"/>
      <c r="G33" s="78"/>
      <c r="H33" s="79"/>
      <c r="I33" s="79"/>
      <c r="J33" s="79"/>
      <c r="K33" s="79"/>
      <c r="L33" s="28"/>
      <c r="M33" s="373"/>
      <c r="N33" s="374"/>
      <c r="O33" s="374"/>
      <c r="P33" s="374"/>
      <c r="Q33" s="374"/>
      <c r="R33" s="374"/>
      <c r="S33" s="374"/>
      <c r="T33" s="374"/>
      <c r="U33" s="374"/>
      <c r="V33" s="375"/>
    </row>
    <row r="34" spans="1:22" ht="18.5" x14ac:dyDescent="0.45">
      <c r="A34" s="75">
        <v>16</v>
      </c>
      <c r="B34" s="79"/>
      <c r="C34" s="79"/>
      <c r="D34" s="81">
        <f>175%*$B$9</f>
        <v>3500000000</v>
      </c>
      <c r="E34" s="78">
        <f>$E$9*1.5</f>
        <v>3000000000</v>
      </c>
      <c r="F34" s="78"/>
      <c r="G34" s="78"/>
      <c r="H34" s="79"/>
      <c r="I34" s="79"/>
      <c r="J34" s="79"/>
      <c r="K34" s="79"/>
      <c r="L34" s="28"/>
      <c r="M34" s="373"/>
      <c r="N34" s="374"/>
      <c r="O34" s="374"/>
      <c r="P34" s="374"/>
      <c r="Q34" s="374"/>
      <c r="R34" s="374"/>
      <c r="S34" s="374"/>
      <c r="T34" s="374"/>
      <c r="U34" s="374"/>
      <c r="V34" s="375"/>
    </row>
    <row r="35" spans="1:22" ht="18.5" x14ac:dyDescent="0.45">
      <c r="A35" s="75">
        <v>17</v>
      </c>
      <c r="B35" s="79"/>
      <c r="C35" s="79"/>
      <c r="D35" s="81">
        <f t="shared" ref="D35:D38" si="10">175%*$B$9</f>
        <v>3500000000</v>
      </c>
      <c r="E35" s="78">
        <f t="shared" ref="E35:E36" si="11">$E$9*1.5</f>
        <v>3000000000</v>
      </c>
      <c r="F35" s="78"/>
      <c r="G35" s="78"/>
      <c r="H35" s="79"/>
      <c r="I35" s="79"/>
      <c r="J35" s="79"/>
      <c r="K35" s="79"/>
      <c r="M35" s="373"/>
      <c r="N35" s="374"/>
      <c r="O35" s="374"/>
      <c r="P35" s="374"/>
      <c r="Q35" s="374"/>
      <c r="R35" s="374"/>
      <c r="S35" s="374"/>
      <c r="T35" s="374"/>
      <c r="U35" s="374"/>
      <c r="V35" s="375"/>
    </row>
    <row r="36" spans="1:22" ht="18.5" x14ac:dyDescent="0.45">
      <c r="A36" s="75">
        <v>18</v>
      </c>
      <c r="B36" s="79"/>
      <c r="C36" s="79"/>
      <c r="D36" s="81">
        <f t="shared" si="10"/>
        <v>3500000000</v>
      </c>
      <c r="E36" s="78">
        <f t="shared" si="11"/>
        <v>3000000000</v>
      </c>
      <c r="F36" s="78"/>
      <c r="G36" s="78"/>
      <c r="H36" s="79"/>
      <c r="I36" s="79"/>
      <c r="J36" s="79"/>
      <c r="K36" s="79"/>
      <c r="M36" s="373"/>
      <c r="N36" s="374"/>
      <c r="O36" s="374"/>
      <c r="P36" s="374"/>
      <c r="Q36" s="374"/>
      <c r="R36" s="374"/>
      <c r="S36" s="374"/>
      <c r="T36" s="374"/>
      <c r="U36" s="374"/>
      <c r="V36" s="375"/>
    </row>
    <row r="37" spans="1:22" ht="18.5" x14ac:dyDescent="0.45">
      <c r="A37" s="75">
        <v>19</v>
      </c>
      <c r="B37" s="79"/>
      <c r="C37" s="79"/>
      <c r="D37" s="81">
        <f t="shared" si="10"/>
        <v>3500000000</v>
      </c>
      <c r="E37" s="78">
        <f>$E$9*1.6</f>
        <v>3200000000</v>
      </c>
      <c r="F37" s="78"/>
      <c r="G37" s="78"/>
      <c r="H37" s="79"/>
      <c r="I37" s="79"/>
      <c r="J37" s="79"/>
      <c r="K37" s="79"/>
      <c r="M37" s="373"/>
      <c r="N37" s="374"/>
      <c r="O37" s="374"/>
      <c r="P37" s="374"/>
      <c r="Q37" s="374"/>
      <c r="R37" s="374"/>
      <c r="S37" s="374"/>
      <c r="T37" s="374"/>
      <c r="U37" s="374"/>
      <c r="V37" s="375"/>
    </row>
    <row r="38" spans="1:22" ht="18.5" x14ac:dyDescent="0.45">
      <c r="A38" s="75">
        <v>20</v>
      </c>
      <c r="B38" s="79"/>
      <c r="C38" s="79"/>
      <c r="D38" s="81">
        <f t="shared" si="10"/>
        <v>3500000000</v>
      </c>
      <c r="E38" s="78">
        <f t="shared" ref="E38:E39" si="12">$E$9*1.6</f>
        <v>3200000000</v>
      </c>
      <c r="F38" s="78">
        <f>50%*B14</f>
        <v>409150000</v>
      </c>
      <c r="G38" s="78"/>
      <c r="H38" s="79"/>
      <c r="I38" s="79"/>
      <c r="J38" s="79"/>
      <c r="K38" s="79"/>
      <c r="M38" s="373"/>
      <c r="N38" s="374"/>
      <c r="O38" s="374"/>
      <c r="P38" s="374"/>
      <c r="Q38" s="374"/>
      <c r="R38" s="374"/>
      <c r="S38" s="374"/>
      <c r="T38" s="374"/>
      <c r="U38" s="374"/>
      <c r="V38" s="375"/>
    </row>
    <row r="39" spans="1:22" ht="18.5" x14ac:dyDescent="0.35">
      <c r="A39" s="77">
        <v>21</v>
      </c>
      <c r="B39" s="79"/>
      <c r="C39" s="79"/>
      <c r="D39" s="81">
        <f>(185%*$B$9)-$F$38</f>
        <v>3290850000</v>
      </c>
      <c r="E39" s="78">
        <f t="shared" si="12"/>
        <v>3200000000</v>
      </c>
      <c r="F39" s="78"/>
      <c r="G39" s="82">
        <v>500000000</v>
      </c>
      <c r="H39" s="79"/>
      <c r="I39" s="79"/>
      <c r="J39" s="79"/>
      <c r="K39" s="79"/>
      <c r="M39" s="373"/>
      <c r="N39" s="374"/>
      <c r="O39" s="374"/>
      <c r="P39" s="374"/>
      <c r="Q39" s="374"/>
      <c r="R39" s="374"/>
      <c r="S39" s="374"/>
      <c r="T39" s="374"/>
      <c r="U39" s="374"/>
      <c r="V39" s="375"/>
    </row>
    <row r="40" spans="1:22" ht="18.5" x14ac:dyDescent="0.35">
      <c r="A40" s="77">
        <v>22</v>
      </c>
      <c r="B40" s="79"/>
      <c r="C40" s="79"/>
      <c r="D40" s="81">
        <f t="shared" ref="D40:D43" si="13">(185%*$B$9)-$F$38</f>
        <v>3290850000</v>
      </c>
      <c r="E40" s="78">
        <f>($E$9*1.7)-$G$39</f>
        <v>2900000000</v>
      </c>
      <c r="F40" s="78"/>
      <c r="G40" s="78"/>
      <c r="H40" s="79"/>
      <c r="I40" s="79"/>
      <c r="J40" s="79"/>
      <c r="K40" s="84"/>
      <c r="M40" s="373"/>
      <c r="N40" s="374"/>
      <c r="O40" s="374"/>
      <c r="P40" s="374"/>
      <c r="Q40" s="374"/>
      <c r="R40" s="374"/>
      <c r="S40" s="374"/>
      <c r="T40" s="374"/>
      <c r="U40" s="374"/>
      <c r="V40" s="375"/>
    </row>
    <row r="41" spans="1:22" ht="18.5" x14ac:dyDescent="0.35">
      <c r="A41" s="77">
        <v>23</v>
      </c>
      <c r="B41" s="79"/>
      <c r="C41" s="79"/>
      <c r="D41" s="81">
        <f t="shared" si="13"/>
        <v>3290850000</v>
      </c>
      <c r="E41" s="78">
        <f t="shared" ref="E41:E42" si="14">($E$9*1.7)-$G$39</f>
        <v>2900000000</v>
      </c>
      <c r="F41" s="78"/>
      <c r="G41" s="78"/>
      <c r="H41" s="79"/>
      <c r="I41" s="79"/>
      <c r="J41" s="79"/>
      <c r="K41" s="79"/>
      <c r="M41" s="373"/>
      <c r="N41" s="374"/>
      <c r="O41" s="374"/>
      <c r="P41" s="374"/>
      <c r="Q41" s="374"/>
      <c r="R41" s="374"/>
      <c r="S41" s="374"/>
      <c r="T41" s="374"/>
      <c r="U41" s="374"/>
      <c r="V41" s="375"/>
    </row>
    <row r="42" spans="1:22" ht="18.5" x14ac:dyDescent="0.35">
      <c r="A42" s="77">
        <v>24</v>
      </c>
      <c r="B42" s="79"/>
      <c r="C42" s="79"/>
      <c r="D42" s="81">
        <f t="shared" si="13"/>
        <v>3290850000</v>
      </c>
      <c r="E42" s="78">
        <f t="shared" si="14"/>
        <v>2900000000</v>
      </c>
      <c r="F42" s="78"/>
      <c r="G42" s="78"/>
      <c r="H42" s="79"/>
      <c r="I42" s="79"/>
      <c r="J42" s="79"/>
      <c r="K42" s="79"/>
      <c r="M42" s="373"/>
      <c r="N42" s="374"/>
      <c r="O42" s="374"/>
      <c r="P42" s="374"/>
      <c r="Q42" s="374"/>
      <c r="R42" s="374"/>
      <c r="S42" s="374"/>
      <c r="T42" s="374"/>
      <c r="U42" s="374"/>
      <c r="V42" s="375"/>
    </row>
    <row r="43" spans="1:22" ht="18.5" x14ac:dyDescent="0.45">
      <c r="A43" s="75">
        <v>25</v>
      </c>
      <c r="B43" s="79"/>
      <c r="C43" s="79"/>
      <c r="D43" s="81">
        <f t="shared" si="13"/>
        <v>3290850000</v>
      </c>
      <c r="E43" s="78">
        <f>($E$9*1.73)-$G$39</f>
        <v>2960000000</v>
      </c>
      <c r="F43" s="78"/>
      <c r="G43" s="78"/>
      <c r="H43" s="79"/>
      <c r="I43" s="79"/>
      <c r="J43" s="79"/>
      <c r="K43" s="79"/>
      <c r="M43" s="373"/>
      <c r="N43" s="374"/>
      <c r="O43" s="374"/>
      <c r="P43" s="374"/>
      <c r="Q43" s="374"/>
      <c r="R43" s="374"/>
      <c r="S43" s="374"/>
      <c r="T43" s="374"/>
      <c r="U43" s="374"/>
      <c r="V43" s="375"/>
    </row>
    <row r="44" spans="1:22" ht="18.5" x14ac:dyDescent="0.45">
      <c r="A44" s="75" t="s">
        <v>160</v>
      </c>
      <c r="B44" s="79"/>
      <c r="C44" s="79"/>
      <c r="D44" s="78"/>
      <c r="E44" s="80" t="s">
        <v>160</v>
      </c>
      <c r="F44" s="80"/>
      <c r="G44" s="80"/>
      <c r="H44" s="79"/>
      <c r="I44" s="79"/>
      <c r="J44" s="79"/>
      <c r="K44" s="79"/>
      <c r="M44" s="373"/>
      <c r="N44" s="374"/>
      <c r="O44" s="374"/>
      <c r="P44" s="374"/>
      <c r="Q44" s="374"/>
      <c r="R44" s="374"/>
      <c r="S44" s="374"/>
      <c r="T44" s="374"/>
      <c r="U44" s="374"/>
      <c r="V44" s="375"/>
    </row>
    <row r="45" spans="1:22" ht="18.5" x14ac:dyDescent="0.35">
      <c r="A45" s="77">
        <v>31</v>
      </c>
      <c r="B45" s="79"/>
      <c r="C45" s="79"/>
      <c r="D45" s="81">
        <f>(200%*B9)-$F$38</f>
        <v>3590850000</v>
      </c>
      <c r="E45" s="78">
        <f>($E$9*1.76)-G39</f>
        <v>3020000000</v>
      </c>
      <c r="F45" s="78"/>
      <c r="G45" s="78"/>
      <c r="H45" s="79"/>
      <c r="I45" s="79"/>
      <c r="J45" s="79"/>
      <c r="K45" s="79"/>
      <c r="M45" s="373"/>
      <c r="N45" s="374"/>
      <c r="O45" s="374"/>
      <c r="P45" s="374"/>
      <c r="Q45" s="374"/>
      <c r="R45" s="374"/>
      <c r="S45" s="374"/>
      <c r="T45" s="374"/>
      <c r="U45" s="374"/>
      <c r="V45" s="375"/>
    </row>
    <row r="46" spans="1:22" ht="18.5" x14ac:dyDescent="0.35">
      <c r="A46" s="77" t="s">
        <v>160</v>
      </c>
      <c r="B46" s="79"/>
      <c r="C46" s="79"/>
      <c r="D46" s="78"/>
      <c r="E46" s="80" t="s">
        <v>160</v>
      </c>
      <c r="F46" s="80"/>
      <c r="G46" s="80"/>
      <c r="H46" s="79"/>
      <c r="I46" s="79"/>
      <c r="J46" s="78"/>
      <c r="K46" s="79"/>
      <c r="M46" s="373"/>
      <c r="N46" s="374"/>
      <c r="O46" s="374"/>
      <c r="P46" s="374"/>
      <c r="Q46" s="374"/>
      <c r="R46" s="374"/>
      <c r="S46" s="374"/>
      <c r="T46" s="374"/>
      <c r="U46" s="374"/>
      <c r="V46" s="375"/>
    </row>
    <row r="47" spans="1:22" ht="18.5" x14ac:dyDescent="0.35">
      <c r="A47" s="77">
        <v>34</v>
      </c>
      <c r="B47" s="79"/>
      <c r="C47" s="79"/>
      <c r="D47" s="81">
        <f>D45</f>
        <v>3590850000</v>
      </c>
      <c r="E47" s="78">
        <f>($E$9*1.79)-G39</f>
        <v>3080000000</v>
      </c>
      <c r="F47" s="78"/>
      <c r="G47" s="78"/>
      <c r="H47" s="79"/>
      <c r="I47" s="79"/>
      <c r="J47" s="79"/>
      <c r="K47" s="78"/>
      <c r="M47" s="373"/>
      <c r="N47" s="374"/>
      <c r="O47" s="374"/>
      <c r="P47" s="374"/>
      <c r="Q47" s="374"/>
      <c r="R47" s="374"/>
      <c r="S47" s="374"/>
      <c r="T47" s="374"/>
      <c r="U47" s="374"/>
      <c r="V47" s="375"/>
    </row>
    <row r="48" spans="1:22" ht="18.5" x14ac:dyDescent="0.45">
      <c r="A48" s="75" t="s">
        <v>160</v>
      </c>
      <c r="B48" s="125"/>
      <c r="C48" s="125"/>
      <c r="D48" s="125"/>
      <c r="E48" s="125"/>
      <c r="F48" s="125"/>
      <c r="G48" s="125"/>
      <c r="H48" s="125"/>
      <c r="I48" s="125"/>
      <c r="J48" s="125"/>
      <c r="K48" s="125"/>
      <c r="M48" s="373"/>
      <c r="N48" s="374"/>
      <c r="O48" s="374"/>
      <c r="P48" s="374"/>
      <c r="Q48" s="374"/>
      <c r="R48" s="374"/>
      <c r="S48" s="374"/>
      <c r="T48" s="374"/>
      <c r="U48" s="374"/>
      <c r="V48" s="375"/>
    </row>
    <row r="49" spans="1:24" ht="18.5" x14ac:dyDescent="0.45">
      <c r="A49" s="75">
        <v>37</v>
      </c>
      <c r="B49" s="126"/>
      <c r="C49" s="126"/>
      <c r="D49" s="74">
        <f>D45</f>
        <v>3590850000</v>
      </c>
      <c r="E49" s="78">
        <v>3200000000</v>
      </c>
      <c r="F49" s="78"/>
      <c r="G49" s="78"/>
      <c r="H49" s="126"/>
      <c r="I49" s="126"/>
      <c r="J49" s="126"/>
      <c r="K49" s="126"/>
      <c r="M49" s="373"/>
      <c r="N49" s="374"/>
      <c r="O49" s="374"/>
      <c r="P49" s="374"/>
      <c r="Q49" s="374"/>
      <c r="R49" s="374"/>
      <c r="S49" s="374"/>
      <c r="T49" s="374"/>
      <c r="U49" s="374"/>
      <c r="V49" s="375"/>
    </row>
    <row r="50" spans="1:24" ht="18.5" x14ac:dyDescent="0.45">
      <c r="A50" s="75" t="s">
        <v>160</v>
      </c>
      <c r="B50" s="126"/>
      <c r="C50" s="126"/>
      <c r="D50" s="126"/>
      <c r="E50" s="126"/>
      <c r="F50" s="126"/>
      <c r="G50" s="126"/>
      <c r="H50" s="126"/>
      <c r="I50" s="126"/>
      <c r="J50" s="126"/>
      <c r="K50" s="126"/>
      <c r="M50" s="373"/>
      <c r="N50" s="374"/>
      <c r="O50" s="374"/>
      <c r="P50" s="374"/>
      <c r="Q50" s="374"/>
      <c r="R50" s="374"/>
      <c r="S50" s="374"/>
      <c r="T50" s="374"/>
      <c r="U50" s="374"/>
      <c r="V50" s="375"/>
    </row>
    <row r="51" spans="1:24" ht="18.5" x14ac:dyDescent="0.45">
      <c r="A51" s="75">
        <v>59</v>
      </c>
      <c r="B51" s="126"/>
      <c r="C51" s="126"/>
      <c r="D51" s="74">
        <f>D45</f>
        <v>3590850000</v>
      </c>
      <c r="E51" s="78">
        <v>3620000000</v>
      </c>
      <c r="F51" s="78"/>
      <c r="G51" s="78"/>
      <c r="H51" s="126"/>
      <c r="I51" s="126"/>
      <c r="J51" s="74">
        <f>D51</f>
        <v>3590850000</v>
      </c>
      <c r="K51" s="127">
        <f>E51</f>
        <v>3620000000</v>
      </c>
      <c r="M51" s="373"/>
      <c r="N51" s="374"/>
      <c r="O51" s="374"/>
      <c r="P51" s="374"/>
      <c r="Q51" s="374"/>
      <c r="R51" s="374"/>
      <c r="S51" s="374"/>
      <c r="T51" s="374"/>
      <c r="U51" s="374"/>
      <c r="V51" s="375"/>
    </row>
    <row r="52" spans="1:24" ht="14.5" customHeight="1" x14ac:dyDescent="0.45">
      <c r="D52" s="65"/>
      <c r="O52" s="119"/>
      <c r="P52" s="120"/>
      <c r="Q52" s="120"/>
      <c r="R52" s="120"/>
      <c r="S52" s="120"/>
      <c r="T52" s="120"/>
      <c r="U52" s="120"/>
      <c r="V52" s="120"/>
      <c r="W52" s="120"/>
      <c r="X52" s="121"/>
    </row>
    <row r="53" spans="1:24" ht="14.5" customHeight="1" x14ac:dyDescent="0.35">
      <c r="O53" s="119"/>
      <c r="P53" s="120"/>
      <c r="Q53" s="120"/>
      <c r="R53" s="120"/>
      <c r="S53" s="120"/>
      <c r="T53" s="120"/>
      <c r="U53" s="120"/>
      <c r="V53" s="120"/>
      <c r="W53" s="120"/>
      <c r="X53" s="121"/>
    </row>
    <row r="54" spans="1:24" ht="14.5" customHeight="1" x14ac:dyDescent="0.35">
      <c r="N54" s="28"/>
      <c r="O54" s="119"/>
      <c r="P54" s="120"/>
      <c r="Q54" s="120"/>
      <c r="R54" s="120"/>
      <c r="S54" s="120"/>
      <c r="T54" s="120"/>
      <c r="U54" s="120"/>
      <c r="V54" s="120"/>
      <c r="W54" s="120"/>
      <c r="X54" s="121"/>
    </row>
    <row r="55" spans="1:24" ht="15" customHeight="1" thickBot="1" x14ac:dyDescent="0.4">
      <c r="N55" s="51"/>
      <c r="O55" s="122"/>
      <c r="P55" s="123"/>
      <c r="Q55" s="123"/>
      <c r="R55" s="123"/>
      <c r="S55" s="123"/>
      <c r="T55" s="123"/>
      <c r="U55" s="123"/>
      <c r="V55" s="123"/>
      <c r="W55" s="123"/>
      <c r="X55" s="124"/>
    </row>
  </sheetData>
  <mergeCells count="37">
    <mergeCell ref="A1:E1"/>
    <mergeCell ref="I1:L1"/>
    <mergeCell ref="N1:R1"/>
    <mergeCell ref="A2:B2"/>
    <mergeCell ref="D2:E2"/>
    <mergeCell ref="I2:J2"/>
    <mergeCell ref="O2:P2"/>
    <mergeCell ref="Q2:R2"/>
    <mergeCell ref="A11:E11"/>
    <mergeCell ref="I7:J7"/>
    <mergeCell ref="O3:P3"/>
    <mergeCell ref="Q3:R3"/>
    <mergeCell ref="I4:J5"/>
    <mergeCell ref="K4:K5"/>
    <mergeCell ref="L4:L5"/>
    <mergeCell ref="O4:P4"/>
    <mergeCell ref="Q4:R4"/>
    <mergeCell ref="O5:P5"/>
    <mergeCell ref="Q5:R5"/>
    <mergeCell ref="I6:J6"/>
    <mergeCell ref="O6:P6"/>
    <mergeCell ref="Q6:R6"/>
    <mergeCell ref="O7:P7"/>
    <mergeCell ref="Q7:R7"/>
    <mergeCell ref="M20:V51"/>
    <mergeCell ref="F17:G17"/>
    <mergeCell ref="B12:C12"/>
    <mergeCell ref="D12:E12"/>
    <mergeCell ref="B13:C13"/>
    <mergeCell ref="D13:E13"/>
    <mergeCell ref="B14:C14"/>
    <mergeCell ref="D14:E14"/>
    <mergeCell ref="A16:K16"/>
    <mergeCell ref="B17:C17"/>
    <mergeCell ref="D17:E17"/>
    <mergeCell ref="H17:I17"/>
    <mergeCell ref="J17:K1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1B909-D169-4BEE-AF6C-17F51A194D15}">
  <dimension ref="A1:Q48"/>
  <sheetViews>
    <sheetView tabSelected="1" zoomScale="60" workbookViewId="0">
      <selection activeCell="J13" sqref="J13:K22"/>
    </sheetView>
  </sheetViews>
  <sheetFormatPr defaultRowHeight="14.5" x14ac:dyDescent="0.35"/>
  <cols>
    <col min="1" max="1" width="30.81640625" customWidth="1"/>
    <col min="2" max="2" width="38.26953125" customWidth="1"/>
    <col min="3" max="3" width="48.7265625" customWidth="1"/>
    <col min="4" max="5" width="2.26953125" style="209" customWidth="1"/>
    <col min="6" max="6" width="14.36328125" customWidth="1"/>
    <col min="7" max="7" width="17.26953125" customWidth="1"/>
    <col min="8" max="8" width="11.6328125" customWidth="1"/>
    <col min="9" max="9" width="9.453125" customWidth="1"/>
    <col min="10" max="10" width="10.7265625" customWidth="1"/>
    <col min="11" max="11" width="10.54296875" customWidth="1"/>
    <col min="12" max="12" width="19.36328125" customWidth="1"/>
    <col min="15" max="15" width="17.81640625" customWidth="1"/>
  </cols>
  <sheetData>
    <row r="1" spans="1:17" ht="22.5" customHeight="1" x14ac:dyDescent="0.35">
      <c r="A1" s="273" t="s">
        <v>368</v>
      </c>
      <c r="B1" s="274"/>
      <c r="C1" s="275"/>
      <c r="F1" s="273" t="s">
        <v>371</v>
      </c>
      <c r="G1" s="274"/>
      <c r="H1" s="274"/>
      <c r="I1" s="274"/>
      <c r="J1" s="274"/>
      <c r="K1" s="275"/>
      <c r="L1" s="253"/>
      <c r="M1" s="254"/>
      <c r="N1" s="254"/>
      <c r="O1" s="254"/>
    </row>
    <row r="2" spans="1:17" ht="26" customHeight="1" x14ac:dyDescent="0.35">
      <c r="A2" s="227"/>
      <c r="B2" s="214" t="s">
        <v>380</v>
      </c>
      <c r="C2" s="218" t="s">
        <v>381</v>
      </c>
      <c r="F2" s="317"/>
      <c r="G2" s="318"/>
      <c r="H2" s="296" t="s">
        <v>114</v>
      </c>
      <c r="I2" s="296"/>
      <c r="J2" s="319" t="s">
        <v>348</v>
      </c>
      <c r="K2" s="333"/>
      <c r="L2" s="253"/>
      <c r="M2" s="254"/>
      <c r="N2" s="254"/>
      <c r="O2" s="254"/>
    </row>
    <row r="3" spans="1:17" x14ac:dyDescent="0.35">
      <c r="A3" s="240" t="s">
        <v>357</v>
      </c>
      <c r="B3" s="207" t="s">
        <v>379</v>
      </c>
      <c r="C3" s="228" t="s">
        <v>358</v>
      </c>
      <c r="F3" s="325" t="s">
        <v>12</v>
      </c>
      <c r="G3" s="326"/>
      <c r="H3" s="297" t="s">
        <v>152</v>
      </c>
      <c r="I3" s="297"/>
      <c r="J3" s="297" t="s">
        <v>13</v>
      </c>
      <c r="K3" s="329"/>
      <c r="L3" s="253"/>
      <c r="M3" s="254"/>
      <c r="N3" s="254"/>
      <c r="O3" s="254"/>
    </row>
    <row r="4" spans="1:17" x14ac:dyDescent="0.35">
      <c r="A4" s="241" t="s">
        <v>110</v>
      </c>
      <c r="B4" s="206" t="s">
        <v>21</v>
      </c>
      <c r="C4" s="229" t="s">
        <v>21</v>
      </c>
      <c r="F4" s="325" t="s">
        <v>112</v>
      </c>
      <c r="G4" s="326"/>
      <c r="H4" s="297" t="s">
        <v>113</v>
      </c>
      <c r="I4" s="297"/>
      <c r="J4" s="297" t="s">
        <v>113</v>
      </c>
      <c r="K4" s="329"/>
      <c r="L4" s="253"/>
      <c r="M4" s="254"/>
      <c r="N4" s="254"/>
      <c r="O4" s="254"/>
    </row>
    <row r="5" spans="1:17" x14ac:dyDescent="0.35">
      <c r="A5" s="241" t="s">
        <v>111</v>
      </c>
      <c r="B5" s="206" t="s">
        <v>359</v>
      </c>
      <c r="C5" s="229" t="s">
        <v>360</v>
      </c>
      <c r="F5" s="325" t="s">
        <v>10</v>
      </c>
      <c r="G5" s="326"/>
      <c r="H5" s="297" t="s">
        <v>224</v>
      </c>
      <c r="I5" s="297"/>
      <c r="J5" s="297" t="s">
        <v>224</v>
      </c>
      <c r="K5" s="329"/>
      <c r="L5" s="253"/>
      <c r="M5" s="254"/>
      <c r="N5" s="254"/>
      <c r="O5" s="254"/>
    </row>
    <row r="6" spans="1:17" x14ac:dyDescent="0.35">
      <c r="A6" s="242" t="s">
        <v>7</v>
      </c>
      <c r="B6" s="206" t="s">
        <v>118</v>
      </c>
      <c r="C6" s="230" t="s">
        <v>361</v>
      </c>
      <c r="F6" s="325" t="s">
        <v>111</v>
      </c>
      <c r="G6" s="326"/>
      <c r="H6" s="297" t="s">
        <v>175</v>
      </c>
      <c r="I6" s="297"/>
      <c r="J6" s="297" t="s">
        <v>373</v>
      </c>
      <c r="K6" s="329"/>
      <c r="L6" s="253"/>
      <c r="M6" s="254"/>
      <c r="N6" s="254"/>
      <c r="O6" s="254"/>
    </row>
    <row r="7" spans="1:17" x14ac:dyDescent="0.35">
      <c r="A7" s="242" t="s">
        <v>362</v>
      </c>
      <c r="B7" s="206" t="s">
        <v>363</v>
      </c>
      <c r="C7" s="229" t="s">
        <v>364</v>
      </c>
      <c r="F7" s="325" t="s">
        <v>117</v>
      </c>
      <c r="G7" s="326"/>
      <c r="H7" s="309">
        <v>500000000</v>
      </c>
      <c r="I7" s="297"/>
      <c r="J7" s="309">
        <v>500000000</v>
      </c>
      <c r="K7" s="329"/>
      <c r="L7" s="253"/>
      <c r="M7" s="254"/>
      <c r="N7" s="254"/>
      <c r="O7" s="254"/>
    </row>
    <row r="8" spans="1:17" x14ac:dyDescent="0.35">
      <c r="A8" s="242" t="s">
        <v>365</v>
      </c>
      <c r="B8" s="206" t="s">
        <v>367</v>
      </c>
      <c r="C8" s="229" t="s">
        <v>189</v>
      </c>
      <c r="F8" s="325" t="s">
        <v>372</v>
      </c>
      <c r="G8" s="326"/>
      <c r="H8" s="332">
        <f>'Premi H+ 500 mio'!AR40*500000</f>
        <v>18875000</v>
      </c>
      <c r="I8" s="332"/>
      <c r="J8" s="330">
        <f>1084000*12</f>
        <v>13008000</v>
      </c>
      <c r="K8" s="331"/>
      <c r="L8" s="253"/>
      <c r="M8" s="254"/>
      <c r="N8" s="254"/>
      <c r="O8" s="254"/>
    </row>
    <row r="9" spans="1:17" ht="21.5" customHeight="1" thickBot="1" x14ac:dyDescent="0.4">
      <c r="A9" s="334" t="s">
        <v>10</v>
      </c>
      <c r="B9" s="337" t="s">
        <v>20</v>
      </c>
      <c r="C9" s="340"/>
      <c r="F9" s="327" t="s">
        <v>120</v>
      </c>
      <c r="G9" s="328"/>
      <c r="H9" s="323">
        <f>H8*10</f>
        <v>188750000</v>
      </c>
      <c r="I9" s="324"/>
      <c r="J9" s="321">
        <f>J8*15</f>
        <v>195120000</v>
      </c>
      <c r="K9" s="322"/>
      <c r="L9" s="255"/>
      <c r="M9" s="256"/>
      <c r="N9" s="256"/>
      <c r="O9" s="256"/>
      <c r="Q9" s="51"/>
    </row>
    <row r="10" spans="1:17" ht="26.5" customHeight="1" x14ac:dyDescent="0.35">
      <c r="A10" s="335"/>
      <c r="B10" s="338"/>
      <c r="C10" s="341"/>
      <c r="F10" s="273" t="s">
        <v>170</v>
      </c>
      <c r="G10" s="274"/>
      <c r="H10" s="274"/>
      <c r="I10" s="274"/>
      <c r="J10" s="274"/>
      <c r="K10" s="274"/>
      <c r="L10" s="274"/>
      <c r="M10" s="274"/>
      <c r="N10" s="274"/>
      <c r="O10" s="275"/>
    </row>
    <row r="11" spans="1:17" ht="22.5" customHeight="1" x14ac:dyDescent="0.35">
      <c r="A11" s="335"/>
      <c r="B11" s="338"/>
      <c r="C11" s="341"/>
      <c r="F11" s="320" t="s">
        <v>374</v>
      </c>
      <c r="G11" s="294" t="s">
        <v>191</v>
      </c>
      <c r="H11" s="294"/>
      <c r="I11" s="294"/>
      <c r="J11" s="294" t="s">
        <v>27</v>
      </c>
      <c r="K11" s="294"/>
      <c r="L11" s="294"/>
      <c r="M11" s="294" t="s">
        <v>29</v>
      </c>
      <c r="N11" s="294"/>
      <c r="O11" s="295"/>
    </row>
    <row r="12" spans="1:17" ht="22.5" customHeight="1" x14ac:dyDescent="0.35">
      <c r="A12" s="336"/>
      <c r="B12" s="339"/>
      <c r="C12" s="342"/>
      <c r="F12" s="320"/>
      <c r="G12" s="214" t="s">
        <v>114</v>
      </c>
      <c r="H12" s="319" t="s">
        <v>348</v>
      </c>
      <c r="I12" s="319"/>
      <c r="J12" s="296" t="s">
        <v>114</v>
      </c>
      <c r="K12" s="296"/>
      <c r="L12" s="212" t="s">
        <v>348</v>
      </c>
      <c r="M12" s="296" t="s">
        <v>114</v>
      </c>
      <c r="N12" s="296"/>
      <c r="O12" s="218" t="s">
        <v>348</v>
      </c>
    </row>
    <row r="13" spans="1:17" ht="18.5" customHeight="1" x14ac:dyDescent="0.35">
      <c r="A13" s="243" t="s">
        <v>91</v>
      </c>
      <c r="B13" s="215" t="s">
        <v>366</v>
      </c>
      <c r="C13" s="231" t="s">
        <v>93</v>
      </c>
      <c r="F13" s="219">
        <v>1</v>
      </c>
      <c r="G13" s="224">
        <f>H7</f>
        <v>500000000</v>
      </c>
      <c r="H13" s="312">
        <f>J7</f>
        <v>500000000</v>
      </c>
      <c r="I13" s="311"/>
      <c r="J13" s="276"/>
      <c r="K13" s="277"/>
      <c r="L13" s="282"/>
      <c r="M13" s="288"/>
      <c r="N13" s="289"/>
      <c r="O13" s="266"/>
    </row>
    <row r="14" spans="1:17" ht="12.5" customHeight="1" x14ac:dyDescent="0.35">
      <c r="A14" s="352" t="s">
        <v>356</v>
      </c>
      <c r="B14" s="353"/>
      <c r="C14" s="354"/>
      <c r="F14" s="219" t="s">
        <v>160</v>
      </c>
      <c r="G14" s="213" t="s">
        <v>160</v>
      </c>
      <c r="H14" s="311" t="s">
        <v>160</v>
      </c>
      <c r="I14" s="311"/>
      <c r="J14" s="278"/>
      <c r="K14" s="279"/>
      <c r="L14" s="283"/>
      <c r="M14" s="290"/>
      <c r="N14" s="291"/>
      <c r="O14" s="267"/>
    </row>
    <row r="15" spans="1:17" ht="12.5" customHeight="1" x14ac:dyDescent="0.35">
      <c r="A15" s="355"/>
      <c r="B15" s="356"/>
      <c r="C15" s="357"/>
      <c r="F15" s="219">
        <v>6</v>
      </c>
      <c r="G15" s="224">
        <f>H7*1.25</f>
        <v>625000000</v>
      </c>
      <c r="H15" s="312">
        <f>J7</f>
        <v>500000000</v>
      </c>
      <c r="I15" s="312"/>
      <c r="J15" s="278"/>
      <c r="K15" s="279"/>
      <c r="L15" s="283"/>
      <c r="M15" s="290"/>
      <c r="N15" s="291"/>
      <c r="O15" s="267"/>
    </row>
    <row r="16" spans="1:17" x14ac:dyDescent="0.35">
      <c r="A16" s="347" t="s">
        <v>12</v>
      </c>
      <c r="B16" s="237" t="s">
        <v>23</v>
      </c>
      <c r="C16" s="348" t="s">
        <v>13</v>
      </c>
      <c r="F16" s="219" t="s">
        <v>160</v>
      </c>
      <c r="G16" s="213" t="s">
        <v>160</v>
      </c>
      <c r="H16" s="311" t="s">
        <v>160</v>
      </c>
      <c r="I16" s="311"/>
      <c r="J16" s="278"/>
      <c r="K16" s="279"/>
      <c r="L16" s="283"/>
      <c r="M16" s="290"/>
      <c r="N16" s="291"/>
      <c r="O16" s="267"/>
    </row>
    <row r="17" spans="1:15" x14ac:dyDescent="0.35">
      <c r="A17" s="347"/>
      <c r="B17" s="237" t="s">
        <v>22</v>
      </c>
      <c r="C17" s="348"/>
      <c r="F17" s="219">
        <v>11</v>
      </c>
      <c r="G17" s="224">
        <f>H7*1.5</f>
        <v>750000000</v>
      </c>
      <c r="H17" s="312">
        <f>H15</f>
        <v>500000000</v>
      </c>
      <c r="I17" s="311"/>
      <c r="J17" s="278"/>
      <c r="K17" s="279"/>
      <c r="L17" s="283"/>
      <c r="M17" s="290"/>
      <c r="N17" s="291"/>
      <c r="O17" s="267"/>
    </row>
    <row r="18" spans="1:15" ht="14.5" customHeight="1" x14ac:dyDescent="0.35">
      <c r="A18" s="313" t="s">
        <v>24</v>
      </c>
      <c r="B18" s="349" t="s">
        <v>148</v>
      </c>
      <c r="C18" s="306" t="s">
        <v>376</v>
      </c>
      <c r="F18" s="219" t="s">
        <v>160</v>
      </c>
      <c r="G18" s="213" t="s">
        <v>160</v>
      </c>
      <c r="H18" s="311" t="s">
        <v>160</v>
      </c>
      <c r="I18" s="311"/>
      <c r="J18" s="278"/>
      <c r="K18" s="279"/>
      <c r="L18" s="283"/>
      <c r="M18" s="290"/>
      <c r="N18" s="291"/>
      <c r="O18" s="267"/>
    </row>
    <row r="19" spans="1:15" ht="21.5" customHeight="1" x14ac:dyDescent="0.35">
      <c r="A19" s="346"/>
      <c r="B19" s="350"/>
      <c r="C19" s="307"/>
      <c r="F19" s="219">
        <v>16</v>
      </c>
      <c r="G19" s="224">
        <f>H7*1.75</f>
        <v>875000000</v>
      </c>
      <c r="H19" s="312">
        <f>J7</f>
        <v>500000000</v>
      </c>
      <c r="I19" s="311"/>
      <c r="J19" s="278"/>
      <c r="K19" s="279"/>
      <c r="L19" s="283"/>
      <c r="M19" s="290"/>
      <c r="N19" s="291"/>
      <c r="O19" s="267"/>
    </row>
    <row r="20" spans="1:15" ht="25" customHeight="1" x14ac:dyDescent="0.35">
      <c r="A20" s="346"/>
      <c r="B20" s="350"/>
      <c r="C20" s="307"/>
      <c r="F20" s="219" t="s">
        <v>160</v>
      </c>
      <c r="G20" s="213" t="s">
        <v>160</v>
      </c>
      <c r="H20" s="311" t="s">
        <v>160</v>
      </c>
      <c r="I20" s="311"/>
      <c r="J20" s="278"/>
      <c r="K20" s="279"/>
      <c r="L20" s="283"/>
      <c r="M20" s="290"/>
      <c r="N20" s="291"/>
      <c r="O20" s="267"/>
    </row>
    <row r="21" spans="1:15" ht="24" customHeight="1" x14ac:dyDescent="0.35">
      <c r="A21" s="346"/>
      <c r="B21" s="350"/>
      <c r="C21" s="307"/>
      <c r="F21" s="219">
        <v>21</v>
      </c>
      <c r="G21" s="224">
        <f>H7*2</f>
        <v>1000000000</v>
      </c>
      <c r="H21" s="312">
        <f>J7</f>
        <v>500000000</v>
      </c>
      <c r="I21" s="311"/>
      <c r="J21" s="278"/>
      <c r="K21" s="279"/>
      <c r="L21" s="283"/>
      <c r="M21" s="290"/>
      <c r="N21" s="291"/>
      <c r="O21" s="267"/>
    </row>
    <row r="22" spans="1:15" ht="24" customHeight="1" x14ac:dyDescent="0.35">
      <c r="A22" s="346"/>
      <c r="B22" s="350"/>
      <c r="C22" s="307"/>
      <c r="F22" s="219" t="s">
        <v>160</v>
      </c>
      <c r="G22" s="213" t="s">
        <v>160</v>
      </c>
      <c r="H22" s="311" t="s">
        <v>160</v>
      </c>
      <c r="I22" s="311"/>
      <c r="J22" s="280"/>
      <c r="K22" s="281"/>
      <c r="L22" s="284"/>
      <c r="M22" s="290"/>
      <c r="N22" s="291"/>
      <c r="O22" s="267"/>
    </row>
    <row r="23" spans="1:15" ht="40.5" customHeight="1" x14ac:dyDescent="0.35">
      <c r="A23" s="314"/>
      <c r="B23" s="351"/>
      <c r="C23" s="308"/>
      <c r="F23" s="219">
        <v>25</v>
      </c>
      <c r="G23" s="224">
        <f>G21</f>
        <v>1000000000</v>
      </c>
      <c r="H23" s="312">
        <f>J7*1.1</f>
        <v>550000000</v>
      </c>
      <c r="I23" s="311"/>
      <c r="J23" s="310">
        <f>50%*H9</f>
        <v>94375000</v>
      </c>
      <c r="K23" s="311"/>
      <c r="L23" s="223">
        <f>70%*J9</f>
        <v>136584000</v>
      </c>
      <c r="M23" s="290"/>
      <c r="N23" s="291"/>
      <c r="O23" s="267"/>
    </row>
    <row r="24" spans="1:15" ht="18" customHeight="1" x14ac:dyDescent="0.35">
      <c r="A24" s="313" t="s">
        <v>25</v>
      </c>
      <c r="B24" s="315" t="s">
        <v>52</v>
      </c>
      <c r="C24" s="348" t="s">
        <v>13</v>
      </c>
      <c r="F24" s="219">
        <v>26</v>
      </c>
      <c r="G24" s="245">
        <f>G23-J23</f>
        <v>905625000</v>
      </c>
      <c r="H24" s="309">
        <f>H23</f>
        <v>550000000</v>
      </c>
      <c r="I24" s="297"/>
      <c r="J24" s="276"/>
      <c r="K24" s="277"/>
      <c r="L24" s="282"/>
      <c r="M24" s="290"/>
      <c r="N24" s="291"/>
      <c r="O24" s="267"/>
    </row>
    <row r="25" spans="1:15" ht="18" customHeight="1" x14ac:dyDescent="0.35">
      <c r="A25" s="314"/>
      <c r="B25" s="316"/>
      <c r="C25" s="348"/>
      <c r="F25" s="219" t="s">
        <v>160</v>
      </c>
      <c r="G25" s="210" t="s">
        <v>160</v>
      </c>
      <c r="H25" s="297" t="s">
        <v>160</v>
      </c>
      <c r="I25" s="297"/>
      <c r="J25" s="278"/>
      <c r="K25" s="279"/>
      <c r="L25" s="283"/>
      <c r="M25" s="290"/>
      <c r="N25" s="291"/>
      <c r="O25" s="267"/>
    </row>
    <row r="26" spans="1:15" ht="15.5" customHeight="1" x14ac:dyDescent="0.35">
      <c r="A26" s="238" t="s">
        <v>382</v>
      </c>
      <c r="B26" s="215" t="s">
        <v>36</v>
      </c>
      <c r="C26" s="348"/>
      <c r="F26" s="219">
        <v>31</v>
      </c>
      <c r="G26" s="245">
        <f>G24</f>
        <v>905625000</v>
      </c>
      <c r="H26" s="309">
        <f>H24</f>
        <v>550000000</v>
      </c>
      <c r="I26" s="297"/>
      <c r="J26" s="278"/>
      <c r="K26" s="279"/>
      <c r="L26" s="283"/>
      <c r="M26" s="290"/>
      <c r="N26" s="291"/>
      <c r="O26" s="267"/>
    </row>
    <row r="27" spans="1:15" ht="24" customHeight="1" x14ac:dyDescent="0.35">
      <c r="A27" s="300" t="s">
        <v>27</v>
      </c>
      <c r="B27" s="303" t="s">
        <v>37</v>
      </c>
      <c r="C27" s="306" t="s">
        <v>375</v>
      </c>
      <c r="F27" s="220" t="s">
        <v>160</v>
      </c>
      <c r="G27" s="210" t="s">
        <v>160</v>
      </c>
      <c r="H27" s="297" t="s">
        <v>160</v>
      </c>
      <c r="I27" s="297"/>
      <c r="J27" s="278"/>
      <c r="K27" s="279"/>
      <c r="L27" s="283"/>
      <c r="M27" s="290"/>
      <c r="N27" s="291"/>
      <c r="O27" s="267"/>
    </row>
    <row r="28" spans="1:15" ht="20" customHeight="1" x14ac:dyDescent="0.35">
      <c r="A28" s="301"/>
      <c r="B28" s="304"/>
      <c r="C28" s="307"/>
      <c r="F28" s="219">
        <v>35</v>
      </c>
      <c r="G28" s="245">
        <f>G26</f>
        <v>905625000</v>
      </c>
      <c r="H28" s="309">
        <f>1.2*J7</f>
        <v>600000000</v>
      </c>
      <c r="I28" s="297"/>
      <c r="J28" s="278"/>
      <c r="K28" s="279"/>
      <c r="L28" s="283"/>
      <c r="M28" s="290"/>
      <c r="N28" s="291"/>
      <c r="O28" s="267"/>
    </row>
    <row r="29" spans="1:15" ht="20" customHeight="1" x14ac:dyDescent="0.35">
      <c r="A29" s="301"/>
      <c r="B29" s="304"/>
      <c r="C29" s="307"/>
      <c r="F29" s="220" t="s">
        <v>160</v>
      </c>
      <c r="G29" s="210" t="s">
        <v>160</v>
      </c>
      <c r="H29" s="297" t="s">
        <v>160</v>
      </c>
      <c r="I29" s="297"/>
      <c r="J29" s="278"/>
      <c r="K29" s="279"/>
      <c r="L29" s="283"/>
      <c r="M29" s="290"/>
      <c r="N29" s="291"/>
      <c r="O29" s="267"/>
    </row>
    <row r="30" spans="1:15" ht="20" customHeight="1" x14ac:dyDescent="0.35">
      <c r="A30" s="301"/>
      <c r="B30" s="304"/>
      <c r="C30" s="307"/>
      <c r="F30" s="220">
        <v>45</v>
      </c>
      <c r="G30" s="245">
        <f>G28</f>
        <v>905625000</v>
      </c>
      <c r="H30" s="309">
        <f>1.3*J7</f>
        <v>650000000</v>
      </c>
      <c r="I30" s="297"/>
      <c r="J30" s="278"/>
      <c r="K30" s="279"/>
      <c r="L30" s="283"/>
      <c r="M30" s="290"/>
      <c r="N30" s="291"/>
      <c r="O30" s="267"/>
    </row>
    <row r="31" spans="1:15" ht="20" customHeight="1" x14ac:dyDescent="0.35">
      <c r="A31" s="301"/>
      <c r="B31" s="304"/>
      <c r="C31" s="307"/>
      <c r="F31" s="220" t="s">
        <v>160</v>
      </c>
      <c r="G31" s="210" t="s">
        <v>160</v>
      </c>
      <c r="H31" s="297" t="s">
        <v>160</v>
      </c>
      <c r="I31" s="297"/>
      <c r="J31" s="278"/>
      <c r="K31" s="279"/>
      <c r="L31" s="283"/>
      <c r="M31" s="292"/>
      <c r="N31" s="293"/>
      <c r="O31" s="267"/>
    </row>
    <row r="32" spans="1:15" ht="20" customHeight="1" x14ac:dyDescent="0.35">
      <c r="A32" s="301"/>
      <c r="B32" s="304"/>
      <c r="C32" s="307"/>
      <c r="F32" s="220">
        <v>64</v>
      </c>
      <c r="G32" s="245">
        <f>G30</f>
        <v>905625000</v>
      </c>
      <c r="H32" s="309">
        <f>1.5*J7</f>
        <v>750000000</v>
      </c>
      <c r="I32" s="297"/>
      <c r="J32" s="278"/>
      <c r="K32" s="279"/>
      <c r="L32" s="283"/>
      <c r="M32" s="269">
        <f>G32</f>
        <v>905625000</v>
      </c>
      <c r="N32" s="270"/>
      <c r="O32" s="267"/>
    </row>
    <row r="33" spans="1:15" ht="20" customHeight="1" x14ac:dyDescent="0.35">
      <c r="A33" s="301"/>
      <c r="B33" s="304"/>
      <c r="C33" s="307"/>
      <c r="F33" s="220">
        <v>65</v>
      </c>
      <c r="G33" s="216"/>
      <c r="H33" s="309">
        <f>H32</f>
        <v>750000000</v>
      </c>
      <c r="I33" s="297"/>
      <c r="J33" s="278"/>
      <c r="K33" s="279"/>
      <c r="L33" s="283"/>
      <c r="M33" s="271"/>
      <c r="N33" s="271"/>
      <c r="O33" s="267"/>
    </row>
    <row r="34" spans="1:15" ht="20" customHeight="1" x14ac:dyDescent="0.35">
      <c r="A34" s="301"/>
      <c r="B34" s="304"/>
      <c r="C34" s="307"/>
      <c r="F34" s="219" t="s">
        <v>160</v>
      </c>
      <c r="G34" s="217"/>
      <c r="H34" s="297" t="s">
        <v>160</v>
      </c>
      <c r="I34" s="297"/>
      <c r="J34" s="278"/>
      <c r="K34" s="279"/>
      <c r="L34" s="283"/>
      <c r="M34" s="271"/>
      <c r="N34" s="271"/>
      <c r="O34" s="268"/>
    </row>
    <row r="35" spans="1:15" ht="20" customHeight="1" thickBot="1" x14ac:dyDescent="0.4">
      <c r="A35" s="301"/>
      <c r="B35" s="304"/>
      <c r="C35" s="307"/>
      <c r="F35" s="221">
        <v>85</v>
      </c>
      <c r="G35" s="222"/>
      <c r="H35" s="298">
        <f>H33</f>
        <v>750000000</v>
      </c>
      <c r="I35" s="299"/>
      <c r="J35" s="285"/>
      <c r="K35" s="286"/>
      <c r="L35" s="287"/>
      <c r="M35" s="272"/>
      <c r="N35" s="272"/>
      <c r="O35" s="226">
        <f>J9-L23</f>
        <v>58536000</v>
      </c>
    </row>
    <row r="36" spans="1:15" ht="20" customHeight="1" thickBot="1" x14ac:dyDescent="0.4">
      <c r="A36" s="301"/>
      <c r="B36" s="304"/>
      <c r="C36" s="307"/>
      <c r="F36" s="246"/>
      <c r="G36" s="246"/>
      <c r="H36" s="246"/>
      <c r="I36" s="246"/>
      <c r="J36" s="246"/>
      <c r="K36" s="246"/>
      <c r="L36" s="246"/>
      <c r="M36" s="246"/>
      <c r="N36" s="246"/>
      <c r="O36" s="246"/>
    </row>
    <row r="37" spans="1:15" ht="20" customHeight="1" x14ac:dyDescent="0.35">
      <c r="A37" s="301"/>
      <c r="B37" s="304"/>
      <c r="C37" s="307"/>
      <c r="F37" s="247" t="s">
        <v>378</v>
      </c>
      <c r="G37" s="248"/>
      <c r="H37" s="248"/>
      <c r="I37" s="248"/>
      <c r="J37" s="248"/>
      <c r="K37" s="248"/>
      <c r="L37" s="248"/>
      <c r="M37" s="248"/>
      <c r="N37" s="248"/>
      <c r="O37" s="249"/>
    </row>
    <row r="38" spans="1:15" ht="20" customHeight="1" thickBot="1" x14ac:dyDescent="0.4">
      <c r="A38" s="301"/>
      <c r="B38" s="304"/>
      <c r="C38" s="307"/>
      <c r="F38" s="250"/>
      <c r="G38" s="251"/>
      <c r="H38" s="251"/>
      <c r="I38" s="251"/>
      <c r="J38" s="251"/>
      <c r="K38" s="251"/>
      <c r="L38" s="251"/>
      <c r="M38" s="251"/>
      <c r="N38" s="251"/>
      <c r="O38" s="252"/>
    </row>
    <row r="39" spans="1:15" ht="20" customHeight="1" x14ac:dyDescent="0.35">
      <c r="A39" s="301"/>
      <c r="B39" s="304"/>
      <c r="C39" s="307"/>
      <c r="F39" s="257" t="s">
        <v>384</v>
      </c>
      <c r="G39" s="258"/>
      <c r="H39" s="258"/>
      <c r="I39" s="258"/>
      <c r="J39" s="258"/>
      <c r="K39" s="258"/>
      <c r="L39" s="258"/>
      <c r="M39" s="258"/>
      <c r="N39" s="258"/>
      <c r="O39" s="259"/>
    </row>
    <row r="40" spans="1:15" ht="20" customHeight="1" x14ac:dyDescent="0.35">
      <c r="A40" s="301"/>
      <c r="B40" s="304"/>
      <c r="C40" s="307"/>
      <c r="F40" s="260"/>
      <c r="G40" s="261"/>
      <c r="H40" s="261"/>
      <c r="I40" s="261"/>
      <c r="J40" s="261"/>
      <c r="K40" s="261"/>
      <c r="L40" s="261"/>
      <c r="M40" s="261"/>
      <c r="N40" s="261"/>
      <c r="O40" s="262"/>
    </row>
    <row r="41" spans="1:15" ht="73.5" customHeight="1" x14ac:dyDescent="0.35">
      <c r="A41" s="302"/>
      <c r="B41" s="305"/>
      <c r="C41" s="308"/>
      <c r="F41" s="260"/>
      <c r="G41" s="261"/>
      <c r="H41" s="261"/>
      <c r="I41" s="261"/>
      <c r="J41" s="261"/>
      <c r="K41" s="261"/>
      <c r="L41" s="261"/>
      <c r="M41" s="261"/>
      <c r="N41" s="261"/>
      <c r="O41" s="262"/>
    </row>
    <row r="42" spans="1:15" x14ac:dyDescent="0.35">
      <c r="A42" s="239" t="s">
        <v>28</v>
      </c>
      <c r="B42" s="215" t="s">
        <v>38</v>
      </c>
      <c r="C42" s="232" t="s">
        <v>13</v>
      </c>
      <c r="F42" s="260"/>
      <c r="G42" s="261"/>
      <c r="H42" s="261"/>
      <c r="I42" s="261"/>
      <c r="J42" s="261"/>
      <c r="K42" s="261"/>
      <c r="L42" s="261"/>
      <c r="M42" s="261"/>
      <c r="N42" s="261"/>
      <c r="O42" s="262"/>
    </row>
    <row r="43" spans="1:15" ht="41" customHeight="1" x14ac:dyDescent="0.35">
      <c r="A43" s="239" t="s">
        <v>29</v>
      </c>
      <c r="B43" s="225" t="s">
        <v>144</v>
      </c>
      <c r="C43" s="233" t="s">
        <v>377</v>
      </c>
      <c r="F43" s="260"/>
      <c r="G43" s="261"/>
      <c r="H43" s="261"/>
      <c r="I43" s="261"/>
      <c r="J43" s="261"/>
      <c r="K43" s="261"/>
      <c r="L43" s="261"/>
      <c r="M43" s="261"/>
      <c r="N43" s="261"/>
      <c r="O43" s="262"/>
    </row>
    <row r="44" spans="1:15" ht="26" x14ac:dyDescent="0.35">
      <c r="A44" s="239" t="s">
        <v>383</v>
      </c>
      <c r="B44" s="208" t="s">
        <v>39</v>
      </c>
      <c r="C44" s="234" t="s">
        <v>189</v>
      </c>
      <c r="F44" s="260"/>
      <c r="G44" s="261"/>
      <c r="H44" s="261"/>
      <c r="I44" s="261"/>
      <c r="J44" s="261"/>
      <c r="K44" s="261"/>
      <c r="L44" s="261"/>
      <c r="M44" s="261"/>
      <c r="N44" s="261"/>
      <c r="O44" s="262"/>
    </row>
    <row r="45" spans="1:15" x14ac:dyDescent="0.35">
      <c r="A45" s="238" t="s">
        <v>77</v>
      </c>
      <c r="B45" s="211" t="s">
        <v>13</v>
      </c>
      <c r="C45" s="232" t="s">
        <v>13</v>
      </c>
      <c r="F45" s="260"/>
      <c r="G45" s="261"/>
      <c r="H45" s="261"/>
      <c r="I45" s="261"/>
      <c r="J45" s="261"/>
      <c r="K45" s="261"/>
      <c r="L45" s="261"/>
      <c r="M45" s="261"/>
      <c r="N45" s="261"/>
      <c r="O45" s="262"/>
    </row>
    <row r="46" spans="1:15" ht="15.5" customHeight="1" x14ac:dyDescent="0.35">
      <c r="A46" s="343" t="s">
        <v>198</v>
      </c>
      <c r="B46" s="344"/>
      <c r="C46" s="345"/>
      <c r="F46" s="260"/>
      <c r="G46" s="261"/>
      <c r="H46" s="261"/>
      <c r="I46" s="261"/>
      <c r="J46" s="261"/>
      <c r="K46" s="261"/>
      <c r="L46" s="261"/>
      <c r="M46" s="261"/>
      <c r="N46" s="261"/>
      <c r="O46" s="262"/>
    </row>
    <row r="47" spans="1:15" x14ac:dyDescent="0.35">
      <c r="A47" s="343"/>
      <c r="B47" s="344"/>
      <c r="C47" s="345"/>
      <c r="F47" s="260"/>
      <c r="G47" s="261"/>
      <c r="H47" s="261"/>
      <c r="I47" s="261"/>
      <c r="J47" s="261"/>
      <c r="K47" s="261"/>
      <c r="L47" s="261"/>
      <c r="M47" s="261"/>
      <c r="N47" s="261"/>
      <c r="O47" s="262"/>
    </row>
    <row r="48" spans="1:15" ht="78.5" thickBot="1" x14ac:dyDescent="0.4">
      <c r="A48" s="244" t="s">
        <v>31</v>
      </c>
      <c r="B48" s="235" t="s">
        <v>369</v>
      </c>
      <c r="C48" s="236" t="s">
        <v>370</v>
      </c>
      <c r="F48" s="263"/>
      <c r="G48" s="264"/>
      <c r="H48" s="264"/>
      <c r="I48" s="264"/>
      <c r="J48" s="264"/>
      <c r="K48" s="264"/>
      <c r="L48" s="264"/>
      <c r="M48" s="264"/>
      <c r="N48" s="264"/>
      <c r="O48" s="265"/>
    </row>
  </sheetData>
  <mergeCells count="88">
    <mergeCell ref="A1:C1"/>
    <mergeCell ref="F1:K1"/>
    <mergeCell ref="H2:I2"/>
    <mergeCell ref="A9:A12"/>
    <mergeCell ref="B9:B12"/>
    <mergeCell ref="C9:C12"/>
    <mergeCell ref="A46:C47"/>
    <mergeCell ref="C18:C23"/>
    <mergeCell ref="A18:A23"/>
    <mergeCell ref="A16:A17"/>
    <mergeCell ref="C24:C26"/>
    <mergeCell ref="C16:C17"/>
    <mergeCell ref="B18:B23"/>
    <mergeCell ref="A14:C15"/>
    <mergeCell ref="H8:I8"/>
    <mergeCell ref="J2:K2"/>
    <mergeCell ref="H3:I3"/>
    <mergeCell ref="J3:K3"/>
    <mergeCell ref="H4:I4"/>
    <mergeCell ref="H5:I5"/>
    <mergeCell ref="H6:I6"/>
    <mergeCell ref="J4:K4"/>
    <mergeCell ref="J5:K5"/>
    <mergeCell ref="J6:K6"/>
    <mergeCell ref="J7:K7"/>
    <mergeCell ref="J8:K8"/>
    <mergeCell ref="F2:G2"/>
    <mergeCell ref="G11:I11"/>
    <mergeCell ref="J11:L11"/>
    <mergeCell ref="H12:I12"/>
    <mergeCell ref="J12:K12"/>
    <mergeCell ref="F11:F12"/>
    <mergeCell ref="J9:K9"/>
    <mergeCell ref="H9:I9"/>
    <mergeCell ref="F3:G3"/>
    <mergeCell ref="F4:G4"/>
    <mergeCell ref="F5:G5"/>
    <mergeCell ref="F6:G6"/>
    <mergeCell ref="F7:G7"/>
    <mergeCell ref="F8:G8"/>
    <mergeCell ref="F9:G9"/>
    <mergeCell ref="H7:I7"/>
    <mergeCell ref="A24:A25"/>
    <mergeCell ref="B24:B25"/>
    <mergeCell ref="H24:I24"/>
    <mergeCell ref="H13:I13"/>
    <mergeCell ref="H14:I14"/>
    <mergeCell ref="H15:I15"/>
    <mergeCell ref="H16:I16"/>
    <mergeCell ref="H17:I17"/>
    <mergeCell ref="H18:I18"/>
    <mergeCell ref="H19:I19"/>
    <mergeCell ref="H20:I20"/>
    <mergeCell ref="H21:I21"/>
    <mergeCell ref="H22:I22"/>
    <mergeCell ref="H23:I23"/>
    <mergeCell ref="M12:N12"/>
    <mergeCell ref="H34:I34"/>
    <mergeCell ref="H35:I35"/>
    <mergeCell ref="A27:A41"/>
    <mergeCell ref="B27:B41"/>
    <mergeCell ref="C27:C41"/>
    <mergeCell ref="H27:I27"/>
    <mergeCell ref="H28:I28"/>
    <mergeCell ref="H29:I29"/>
    <mergeCell ref="H30:I30"/>
    <mergeCell ref="H31:I31"/>
    <mergeCell ref="H32:I32"/>
    <mergeCell ref="H33:I33"/>
    <mergeCell ref="H25:I25"/>
    <mergeCell ref="H26:I26"/>
    <mergeCell ref="J23:K23"/>
    <mergeCell ref="F36:O36"/>
    <mergeCell ref="F37:O38"/>
    <mergeCell ref="L1:O9"/>
    <mergeCell ref="F39:O48"/>
    <mergeCell ref="O13:O34"/>
    <mergeCell ref="M32:N32"/>
    <mergeCell ref="M33:N33"/>
    <mergeCell ref="M34:N34"/>
    <mergeCell ref="M35:N35"/>
    <mergeCell ref="F10:O10"/>
    <mergeCell ref="J13:K22"/>
    <mergeCell ref="L13:L22"/>
    <mergeCell ref="J24:K35"/>
    <mergeCell ref="L24:L35"/>
    <mergeCell ref="M13:N31"/>
    <mergeCell ref="M11:O11"/>
  </mergeCell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F5062-EC93-4747-A093-99895F180359}">
  <dimension ref="A1:BB137"/>
  <sheetViews>
    <sheetView workbookViewId="0">
      <pane xSplit="3" ySplit="5" topLeftCell="AG36" activePane="bottomRight" state="frozen"/>
      <selection activeCell="BP12" sqref="BP12"/>
      <selection pane="topRight" activeCell="BP12" sqref="BP12"/>
      <selection pane="bottomLeft" activeCell="BP12" sqref="BP12"/>
      <selection pane="bottomRight" activeCell="AJ55" sqref="AJ55"/>
    </sheetView>
  </sheetViews>
  <sheetFormatPr defaultRowHeight="14.5" x14ac:dyDescent="0.35"/>
  <cols>
    <col min="1" max="1" width="8.7265625" style="29"/>
    <col min="2" max="2" width="13.453125" style="29" bestFit="1" customWidth="1"/>
    <col min="3" max="5" width="8.7265625" style="29"/>
    <col min="6" max="6" width="19.90625" style="29" customWidth="1"/>
    <col min="7" max="9" width="8.7265625" style="29"/>
    <col min="10" max="10" width="13.90625" style="29" bestFit="1" customWidth="1"/>
    <col min="11" max="11" width="12.54296875" style="29" bestFit="1" customWidth="1"/>
    <col min="12" max="17" width="8.7265625" style="29"/>
    <col min="18" max="18" width="10.54296875" style="29" bestFit="1" customWidth="1"/>
    <col min="19" max="31" width="9.08984375" style="29" customWidth="1"/>
    <col min="32" max="32" width="14.453125" style="29" customWidth="1"/>
    <col min="33" max="35" width="9.08984375" style="29" customWidth="1"/>
    <col min="36" max="36" width="17" style="29" customWidth="1"/>
    <col min="37" max="37" width="17.6328125" style="29" customWidth="1"/>
    <col min="38" max="48" width="8.7265625" style="29"/>
    <col min="49" max="54" width="9.08984375" style="29" customWidth="1"/>
  </cols>
  <sheetData>
    <row r="1" spans="1:54" x14ac:dyDescent="0.35">
      <c r="A1" s="527" t="s">
        <v>123</v>
      </c>
      <c r="B1" s="528"/>
      <c r="C1" s="528"/>
      <c r="D1" s="528"/>
      <c r="E1" s="528"/>
      <c r="G1" s="527" t="s">
        <v>124</v>
      </c>
      <c r="H1" s="528"/>
      <c r="I1" s="528"/>
      <c r="J1" s="528"/>
      <c r="K1" s="528"/>
      <c r="M1" s="529" t="s">
        <v>125</v>
      </c>
      <c r="N1" s="530"/>
      <c r="O1" s="530"/>
      <c r="P1" s="530"/>
      <c r="Q1" s="530"/>
      <c r="S1" s="529" t="s">
        <v>126</v>
      </c>
      <c r="T1" s="530"/>
      <c r="U1" s="530"/>
      <c r="V1" s="530"/>
      <c r="W1" s="530"/>
      <c r="Y1" s="527" t="s">
        <v>127</v>
      </c>
      <c r="Z1" s="528"/>
      <c r="AA1" s="528"/>
      <c r="AB1" s="528"/>
      <c r="AC1" s="528"/>
      <c r="AE1" s="527" t="s">
        <v>128</v>
      </c>
      <c r="AF1" s="528"/>
      <c r="AG1" s="528"/>
      <c r="AH1" s="528"/>
      <c r="AI1" s="528"/>
      <c r="AK1" s="527" t="s">
        <v>129</v>
      </c>
      <c r="AL1" s="528"/>
      <c r="AM1" s="528"/>
      <c r="AN1" s="528"/>
      <c r="AO1" s="528"/>
      <c r="AQ1" s="527" t="s">
        <v>130</v>
      </c>
      <c r="AR1" s="528"/>
      <c r="AS1" s="528"/>
      <c r="AT1" s="528"/>
      <c r="AU1" s="528"/>
      <c r="AX1" s="30" t="s">
        <v>131</v>
      </c>
      <c r="AY1" s="31"/>
      <c r="AZ1" s="31"/>
      <c r="BA1" s="31"/>
      <c r="BB1" s="31"/>
    </row>
    <row r="2" spans="1:54" x14ac:dyDescent="0.35">
      <c r="A2" s="527" t="s">
        <v>132</v>
      </c>
      <c r="B2" s="528"/>
      <c r="C2" s="528"/>
      <c r="D2" s="528"/>
      <c r="E2" s="533"/>
      <c r="G2" s="527" t="s">
        <v>132</v>
      </c>
      <c r="H2" s="528"/>
      <c r="I2" s="528"/>
      <c r="J2" s="528"/>
      <c r="K2" s="533"/>
      <c r="M2" s="527" t="s">
        <v>132</v>
      </c>
      <c r="N2" s="528"/>
      <c r="O2" s="528"/>
      <c r="P2" s="528"/>
      <c r="Q2" s="533"/>
      <c r="S2" s="527" t="s">
        <v>132</v>
      </c>
      <c r="T2" s="528"/>
      <c r="U2" s="528"/>
      <c r="V2" s="528"/>
      <c r="W2" s="533"/>
      <c r="Y2" s="527" t="s">
        <v>132</v>
      </c>
      <c r="Z2" s="528"/>
      <c r="AA2" s="528"/>
      <c r="AB2" s="528"/>
      <c r="AC2" s="533"/>
      <c r="AE2" s="527" t="s">
        <v>132</v>
      </c>
      <c r="AF2" s="528"/>
      <c r="AG2" s="528"/>
      <c r="AH2" s="528"/>
      <c r="AI2" s="533"/>
      <c r="AK2" s="527" t="s">
        <v>132</v>
      </c>
      <c r="AL2" s="528"/>
      <c r="AM2" s="528"/>
      <c r="AN2" s="528"/>
      <c r="AO2" s="533"/>
      <c r="AQ2" s="527" t="s">
        <v>132</v>
      </c>
      <c r="AR2" s="528"/>
      <c r="AS2" s="528"/>
      <c r="AT2" s="528"/>
      <c r="AU2" s="533"/>
      <c r="AX2" s="527" t="s">
        <v>132</v>
      </c>
      <c r="AY2" s="528"/>
      <c r="AZ2" s="528"/>
      <c r="BA2" s="528"/>
      <c r="BB2" s="533"/>
    </row>
    <row r="3" spans="1:54" x14ac:dyDescent="0.35">
      <c r="A3" s="32" t="s">
        <v>123</v>
      </c>
      <c r="B3" s="531" t="s">
        <v>133</v>
      </c>
      <c r="C3" s="532"/>
      <c r="D3" s="531" t="s">
        <v>134</v>
      </c>
      <c r="E3" s="532"/>
      <c r="G3" s="32">
        <v>66</v>
      </c>
      <c r="H3" s="531" t="s">
        <v>133</v>
      </c>
      <c r="I3" s="532"/>
      <c r="J3" s="531" t="s">
        <v>134</v>
      </c>
      <c r="K3" s="532"/>
      <c r="M3" s="32">
        <v>66</v>
      </c>
      <c r="N3" s="531" t="s">
        <v>133</v>
      </c>
      <c r="O3" s="532"/>
      <c r="P3" s="531" t="s">
        <v>134</v>
      </c>
      <c r="Q3" s="532"/>
      <c r="S3" s="32">
        <v>66</v>
      </c>
      <c r="T3" s="531" t="s">
        <v>133</v>
      </c>
      <c r="U3" s="532"/>
      <c r="V3" s="531" t="s">
        <v>134</v>
      </c>
      <c r="W3" s="532"/>
      <c r="Y3" s="32">
        <v>66</v>
      </c>
      <c r="Z3" s="531" t="s">
        <v>133</v>
      </c>
      <c r="AA3" s="532"/>
      <c r="AB3" s="531" t="s">
        <v>134</v>
      </c>
      <c r="AC3" s="532"/>
      <c r="AE3" s="32">
        <v>66</v>
      </c>
      <c r="AF3" s="531" t="s">
        <v>133</v>
      </c>
      <c r="AG3" s="532"/>
      <c r="AH3" s="531" t="s">
        <v>134</v>
      </c>
      <c r="AI3" s="532"/>
      <c r="AK3" s="32">
        <v>66</v>
      </c>
      <c r="AL3" s="531" t="s">
        <v>133</v>
      </c>
      <c r="AM3" s="532"/>
      <c r="AN3" s="531" t="s">
        <v>134</v>
      </c>
      <c r="AO3" s="532"/>
      <c r="AQ3" s="32">
        <v>66</v>
      </c>
      <c r="AR3" s="531" t="s">
        <v>133</v>
      </c>
      <c r="AS3" s="532"/>
      <c r="AT3" s="531" t="s">
        <v>134</v>
      </c>
      <c r="AU3" s="532"/>
      <c r="AX3" s="32">
        <v>66</v>
      </c>
      <c r="AY3" s="531" t="s">
        <v>133</v>
      </c>
      <c r="AZ3" s="532"/>
      <c r="BA3" s="531" t="s">
        <v>134</v>
      </c>
      <c r="BB3" s="532"/>
    </row>
    <row r="4" spans="1:54" x14ac:dyDescent="0.35">
      <c r="A4" s="33" t="s">
        <v>135</v>
      </c>
      <c r="B4" s="33" t="s">
        <v>136</v>
      </c>
      <c r="C4" s="34"/>
      <c r="D4" s="33" t="s">
        <v>136</v>
      </c>
      <c r="E4" s="34"/>
      <c r="G4" s="33" t="s">
        <v>135</v>
      </c>
      <c r="H4" s="33" t="s">
        <v>136</v>
      </c>
      <c r="I4" s="34"/>
      <c r="J4" s="33" t="s">
        <v>136</v>
      </c>
      <c r="K4" s="34"/>
      <c r="M4" s="33" t="s">
        <v>135</v>
      </c>
      <c r="N4" s="33" t="s">
        <v>136</v>
      </c>
      <c r="O4" s="34"/>
      <c r="P4" s="33" t="s">
        <v>136</v>
      </c>
      <c r="Q4" s="34"/>
      <c r="S4" s="33" t="s">
        <v>135</v>
      </c>
      <c r="T4" s="33" t="s">
        <v>136</v>
      </c>
      <c r="U4" s="34"/>
      <c r="V4" s="33" t="s">
        <v>136</v>
      </c>
      <c r="W4" s="34"/>
      <c r="Y4" s="33" t="s">
        <v>135</v>
      </c>
      <c r="Z4" s="33" t="s">
        <v>136</v>
      </c>
      <c r="AA4" s="34"/>
      <c r="AB4" s="33" t="s">
        <v>136</v>
      </c>
      <c r="AC4" s="34"/>
      <c r="AE4" s="33" t="s">
        <v>135</v>
      </c>
      <c r="AF4" s="33" t="s">
        <v>136</v>
      </c>
      <c r="AG4" s="34"/>
      <c r="AH4" s="33" t="s">
        <v>136</v>
      </c>
      <c r="AI4" s="34"/>
      <c r="AK4" s="33" t="s">
        <v>135</v>
      </c>
      <c r="AL4" s="33" t="s">
        <v>136</v>
      </c>
      <c r="AM4" s="34"/>
      <c r="AN4" s="33" t="s">
        <v>136</v>
      </c>
      <c r="AO4" s="34"/>
      <c r="AQ4" s="33" t="s">
        <v>135</v>
      </c>
      <c r="AR4" s="33" t="s">
        <v>136</v>
      </c>
      <c r="AS4" s="34"/>
      <c r="AT4" s="33" t="s">
        <v>136</v>
      </c>
      <c r="AU4" s="34"/>
      <c r="AX4" s="33" t="s">
        <v>135</v>
      </c>
      <c r="AY4" s="33" t="s">
        <v>136</v>
      </c>
      <c r="AZ4" s="34"/>
      <c r="BA4" s="33" t="s">
        <v>136</v>
      </c>
      <c r="BB4" s="34"/>
    </row>
    <row r="5" spans="1:54" x14ac:dyDescent="0.35">
      <c r="A5" s="35">
        <v>0</v>
      </c>
      <c r="B5" s="36">
        <v>65.41</v>
      </c>
      <c r="C5" s="37"/>
      <c r="D5" s="36">
        <v>53.57</v>
      </c>
      <c r="E5" s="37"/>
      <c r="G5" s="35">
        <v>0</v>
      </c>
      <c r="H5" s="36">
        <v>35.299999999999997</v>
      </c>
      <c r="I5" s="37"/>
      <c r="J5" s="36">
        <v>29.11</v>
      </c>
      <c r="K5" s="37"/>
      <c r="M5" s="35">
        <v>0</v>
      </c>
      <c r="N5" s="36">
        <v>15.17</v>
      </c>
      <c r="O5" s="37"/>
      <c r="P5" s="36">
        <v>12.53</v>
      </c>
      <c r="Q5" s="37"/>
      <c r="R5" s="38"/>
      <c r="S5" s="35">
        <v>0</v>
      </c>
      <c r="T5" s="36">
        <v>8.02</v>
      </c>
      <c r="U5" s="37"/>
      <c r="V5" s="36">
        <v>6.6</v>
      </c>
      <c r="W5" s="37"/>
      <c r="X5" s="39"/>
      <c r="Y5" s="35">
        <v>0</v>
      </c>
      <c r="Z5" s="36">
        <v>66.349999999999994</v>
      </c>
      <c r="AA5" s="37"/>
      <c r="AB5" s="36">
        <v>54.42</v>
      </c>
      <c r="AC5" s="37"/>
      <c r="AE5" s="35">
        <v>0</v>
      </c>
      <c r="AF5" s="36">
        <v>35.94</v>
      </c>
      <c r="AG5" s="37"/>
      <c r="AH5" s="36">
        <v>29.68</v>
      </c>
      <c r="AI5" s="37"/>
      <c r="AK5" s="35">
        <v>0</v>
      </c>
      <c r="AL5" s="36">
        <v>15.44</v>
      </c>
      <c r="AM5" s="37"/>
      <c r="AN5" s="36">
        <v>12.78</v>
      </c>
      <c r="AO5" s="37"/>
      <c r="AQ5" s="35">
        <v>0</v>
      </c>
      <c r="AR5" s="36">
        <v>8.18</v>
      </c>
      <c r="AS5" s="37"/>
      <c r="AT5" s="36">
        <v>6.74</v>
      </c>
      <c r="AU5" s="37"/>
      <c r="AX5" s="35">
        <v>0</v>
      </c>
      <c r="AY5" s="36">
        <v>5.83</v>
      </c>
      <c r="AZ5" s="37"/>
      <c r="BA5" s="36">
        <v>4.8499999999999996</v>
      </c>
      <c r="BB5" s="37"/>
    </row>
    <row r="6" spans="1:54" x14ac:dyDescent="0.35">
      <c r="A6" s="35">
        <v>1</v>
      </c>
      <c r="B6" s="36">
        <v>67.930000000000007</v>
      </c>
      <c r="C6" s="37"/>
      <c r="D6" s="36">
        <v>55.6</v>
      </c>
      <c r="E6" s="37"/>
      <c r="G6" s="35">
        <v>1</v>
      </c>
      <c r="H6" s="36">
        <v>36.61</v>
      </c>
      <c r="I6" s="37"/>
      <c r="J6" s="36">
        <v>30.16</v>
      </c>
      <c r="K6" s="37"/>
      <c r="L6" s="40"/>
      <c r="M6" s="35">
        <v>1</v>
      </c>
      <c r="N6" s="36">
        <v>15.72</v>
      </c>
      <c r="O6" s="37"/>
      <c r="P6" s="36">
        <v>12.97</v>
      </c>
      <c r="Q6" s="37"/>
      <c r="R6" s="38"/>
      <c r="S6" s="35">
        <v>1</v>
      </c>
      <c r="T6" s="36">
        <v>8.31</v>
      </c>
      <c r="U6" s="37"/>
      <c r="V6" s="36">
        <v>6.83</v>
      </c>
      <c r="W6" s="37"/>
      <c r="X6" s="39"/>
      <c r="Y6" s="35">
        <v>1</v>
      </c>
      <c r="Z6" s="36">
        <v>69.010000000000005</v>
      </c>
      <c r="AA6" s="37"/>
      <c r="AB6" s="36">
        <v>56.47</v>
      </c>
      <c r="AC6" s="37"/>
      <c r="AE6" s="35">
        <v>1</v>
      </c>
      <c r="AF6" s="36">
        <v>37.32</v>
      </c>
      <c r="AG6" s="37"/>
      <c r="AH6" s="36">
        <v>30.76</v>
      </c>
      <c r="AI6" s="37"/>
      <c r="AK6" s="35">
        <v>1</v>
      </c>
      <c r="AL6" s="36">
        <v>16.03</v>
      </c>
      <c r="AM6" s="37"/>
      <c r="AN6" s="36">
        <v>13.23</v>
      </c>
      <c r="AO6" s="37"/>
      <c r="AP6" s="40"/>
      <c r="AQ6" s="35">
        <v>1</v>
      </c>
      <c r="AR6" s="36">
        <v>8.49</v>
      </c>
      <c r="AS6" s="37"/>
      <c r="AT6" s="36">
        <v>6.97</v>
      </c>
      <c r="AU6" s="37"/>
      <c r="AW6" s="40"/>
      <c r="AX6" s="35">
        <v>1</v>
      </c>
      <c r="AY6" s="36">
        <v>6.03</v>
      </c>
      <c r="AZ6" s="37"/>
      <c r="BA6" s="36">
        <v>5.01</v>
      </c>
      <c r="BB6" s="37"/>
    </row>
    <row r="7" spans="1:54" x14ac:dyDescent="0.35">
      <c r="A7" s="35">
        <v>2</v>
      </c>
      <c r="B7" s="36">
        <v>70.62</v>
      </c>
      <c r="C7" s="37"/>
      <c r="D7" s="36">
        <v>57.72</v>
      </c>
      <c r="E7" s="37"/>
      <c r="G7" s="35">
        <v>2</v>
      </c>
      <c r="H7" s="36">
        <v>38.03</v>
      </c>
      <c r="I7" s="37"/>
      <c r="J7" s="36">
        <v>31.24</v>
      </c>
      <c r="K7" s="37"/>
      <c r="L7" s="40"/>
      <c r="M7" s="35">
        <v>2</v>
      </c>
      <c r="N7" s="36">
        <v>16.32</v>
      </c>
      <c r="O7" s="37"/>
      <c r="P7" s="36">
        <v>13.44</v>
      </c>
      <c r="Q7" s="37"/>
      <c r="R7" s="38"/>
      <c r="S7" s="35">
        <v>2</v>
      </c>
      <c r="T7" s="36">
        <v>8.6300000000000008</v>
      </c>
      <c r="U7" s="37"/>
      <c r="V7" s="36">
        <v>7.07</v>
      </c>
      <c r="W7" s="37"/>
      <c r="X7" s="39"/>
      <c r="Y7" s="35">
        <v>2</v>
      </c>
      <c r="Z7" s="36">
        <v>71.849999999999994</v>
      </c>
      <c r="AA7" s="37"/>
      <c r="AB7" s="36">
        <v>58.71</v>
      </c>
      <c r="AC7" s="37"/>
      <c r="AE7" s="35">
        <v>2</v>
      </c>
      <c r="AF7" s="36">
        <v>38.840000000000003</v>
      </c>
      <c r="AG7" s="37"/>
      <c r="AH7" s="36">
        <v>31.91</v>
      </c>
      <c r="AI7" s="37"/>
      <c r="AK7" s="35">
        <v>2</v>
      </c>
      <c r="AL7" s="36">
        <v>16.68</v>
      </c>
      <c r="AM7" s="37"/>
      <c r="AN7" s="36">
        <v>13.73</v>
      </c>
      <c r="AO7" s="37"/>
      <c r="AP7" s="40"/>
      <c r="AQ7" s="35">
        <v>2</v>
      </c>
      <c r="AR7" s="36">
        <v>8.84</v>
      </c>
      <c r="AS7" s="37"/>
      <c r="AT7" s="36">
        <v>7.24</v>
      </c>
      <c r="AU7" s="37"/>
      <c r="AW7" s="40"/>
      <c r="AX7" s="35">
        <v>2</v>
      </c>
      <c r="AY7" s="36">
        <v>6.27</v>
      </c>
      <c r="AZ7" s="37"/>
      <c r="BA7" s="36">
        <v>5.19</v>
      </c>
      <c r="BB7" s="37"/>
    </row>
    <row r="8" spans="1:54" x14ac:dyDescent="0.35">
      <c r="A8" s="35">
        <v>3</v>
      </c>
      <c r="B8" s="36">
        <v>73.33</v>
      </c>
      <c r="C8" s="37"/>
      <c r="D8" s="36">
        <v>59.86</v>
      </c>
      <c r="E8" s="37"/>
      <c r="G8" s="35">
        <v>3</v>
      </c>
      <c r="H8" s="36">
        <v>39.450000000000003</v>
      </c>
      <c r="I8" s="37"/>
      <c r="J8" s="36">
        <v>32.36</v>
      </c>
      <c r="K8" s="37"/>
      <c r="L8" s="40"/>
      <c r="M8" s="35">
        <v>3</v>
      </c>
      <c r="N8" s="36">
        <v>16.93</v>
      </c>
      <c r="O8" s="37"/>
      <c r="P8" s="36">
        <v>13.92</v>
      </c>
      <c r="Q8" s="37"/>
      <c r="R8" s="38"/>
      <c r="S8" s="35">
        <v>3</v>
      </c>
      <c r="T8" s="36">
        <v>8.9499999999999993</v>
      </c>
      <c r="U8" s="37"/>
      <c r="V8" s="36">
        <v>7.32</v>
      </c>
      <c r="W8" s="37"/>
      <c r="X8" s="39"/>
      <c r="Y8" s="35">
        <v>3</v>
      </c>
      <c r="Z8" s="36">
        <v>74.69</v>
      </c>
      <c r="AA8" s="37"/>
      <c r="AB8" s="36">
        <v>60.93</v>
      </c>
      <c r="AC8" s="37"/>
      <c r="AE8" s="35">
        <v>3</v>
      </c>
      <c r="AF8" s="36">
        <v>40.340000000000003</v>
      </c>
      <c r="AG8" s="37"/>
      <c r="AH8" s="36">
        <v>33.090000000000003</v>
      </c>
      <c r="AI8" s="37"/>
      <c r="AK8" s="35">
        <v>3</v>
      </c>
      <c r="AL8" s="36">
        <v>17.309999999999999</v>
      </c>
      <c r="AM8" s="37"/>
      <c r="AN8" s="36">
        <v>14.23</v>
      </c>
      <c r="AO8" s="37"/>
      <c r="AP8" s="40"/>
      <c r="AQ8" s="35">
        <v>3</v>
      </c>
      <c r="AR8" s="36">
        <v>9.18</v>
      </c>
      <c r="AS8" s="37"/>
      <c r="AT8" s="36">
        <v>7.5</v>
      </c>
      <c r="AU8" s="37"/>
      <c r="AW8" s="40"/>
      <c r="AX8" s="35">
        <v>3</v>
      </c>
      <c r="AY8" s="36">
        <v>6.5</v>
      </c>
      <c r="AZ8" s="37"/>
      <c r="BA8" s="36">
        <v>5.37</v>
      </c>
      <c r="BB8" s="37"/>
    </row>
    <row r="9" spans="1:54" x14ac:dyDescent="0.35">
      <c r="A9" s="35">
        <v>4</v>
      </c>
      <c r="B9" s="36">
        <v>76.099999999999994</v>
      </c>
      <c r="C9" s="37"/>
      <c r="D9" s="36">
        <v>62.09</v>
      </c>
      <c r="E9" s="37"/>
      <c r="G9" s="35">
        <v>4</v>
      </c>
      <c r="H9" s="36">
        <v>40.909999999999997</v>
      </c>
      <c r="I9" s="37"/>
      <c r="J9" s="36">
        <v>33.54</v>
      </c>
      <c r="K9" s="37"/>
      <c r="L9" s="40"/>
      <c r="M9" s="35">
        <v>4</v>
      </c>
      <c r="N9" s="36">
        <v>17.55</v>
      </c>
      <c r="O9" s="37"/>
      <c r="P9" s="36">
        <v>14.41</v>
      </c>
      <c r="Q9" s="37"/>
      <c r="R9" s="38"/>
      <c r="S9" s="35">
        <v>4</v>
      </c>
      <c r="T9" s="36">
        <v>9.27</v>
      </c>
      <c r="U9" s="37"/>
      <c r="V9" s="36">
        <v>7.58</v>
      </c>
      <c r="W9" s="37"/>
      <c r="X9" s="39"/>
      <c r="Y9" s="35">
        <v>4</v>
      </c>
      <c r="Z9" s="36">
        <v>77.569999999999993</v>
      </c>
      <c r="AA9" s="37"/>
      <c r="AB9" s="36">
        <v>63.19</v>
      </c>
      <c r="AC9" s="37"/>
      <c r="AE9" s="35">
        <v>4</v>
      </c>
      <c r="AF9" s="36">
        <v>41.87</v>
      </c>
      <c r="AG9" s="37"/>
      <c r="AH9" s="36">
        <v>34.28</v>
      </c>
      <c r="AI9" s="37"/>
      <c r="AK9" s="35">
        <v>4</v>
      </c>
      <c r="AL9" s="36">
        <v>17.96</v>
      </c>
      <c r="AM9" s="37"/>
      <c r="AN9" s="36">
        <v>14.74</v>
      </c>
      <c r="AO9" s="37"/>
      <c r="AP9" s="40"/>
      <c r="AQ9" s="35">
        <v>4</v>
      </c>
      <c r="AR9" s="36">
        <v>9.52</v>
      </c>
      <c r="AS9" s="37"/>
      <c r="AT9" s="36">
        <v>7.77</v>
      </c>
      <c r="AU9" s="37"/>
      <c r="AW9" s="40"/>
      <c r="AX9" s="35">
        <v>4</v>
      </c>
      <c r="AY9" s="36">
        <v>6.72</v>
      </c>
      <c r="AZ9" s="37"/>
      <c r="BA9" s="36">
        <v>5.56</v>
      </c>
      <c r="BB9" s="37"/>
    </row>
    <row r="10" spans="1:54" x14ac:dyDescent="0.35">
      <c r="A10" s="35">
        <v>5</v>
      </c>
      <c r="B10" s="36">
        <v>78.900000000000006</v>
      </c>
      <c r="C10" s="37"/>
      <c r="D10" s="36">
        <v>64.33</v>
      </c>
      <c r="E10" s="37"/>
      <c r="G10" s="35">
        <v>5</v>
      </c>
      <c r="H10" s="36">
        <v>42.38</v>
      </c>
      <c r="I10" s="37"/>
      <c r="J10" s="36">
        <v>34.71</v>
      </c>
      <c r="K10" s="37"/>
      <c r="L10" s="40"/>
      <c r="M10" s="35">
        <v>5</v>
      </c>
      <c r="N10" s="36">
        <v>18.16</v>
      </c>
      <c r="O10" s="37"/>
      <c r="P10" s="36">
        <v>14.91</v>
      </c>
      <c r="Q10" s="37"/>
      <c r="R10" s="38"/>
      <c r="S10" s="35">
        <v>5</v>
      </c>
      <c r="T10" s="36">
        <v>9.6</v>
      </c>
      <c r="U10" s="37"/>
      <c r="V10" s="36">
        <v>7.84</v>
      </c>
      <c r="W10" s="37"/>
      <c r="X10" s="39"/>
      <c r="Y10" s="35">
        <v>5</v>
      </c>
      <c r="Z10" s="36">
        <v>80.5</v>
      </c>
      <c r="AA10" s="37"/>
      <c r="AB10" s="36">
        <v>65.55</v>
      </c>
      <c r="AC10" s="37"/>
      <c r="AE10" s="35">
        <v>5</v>
      </c>
      <c r="AF10" s="36">
        <v>43.42</v>
      </c>
      <c r="AG10" s="37"/>
      <c r="AH10" s="36">
        <v>35.53</v>
      </c>
      <c r="AI10" s="37"/>
      <c r="AK10" s="35">
        <v>5</v>
      </c>
      <c r="AL10" s="36">
        <v>18.62</v>
      </c>
      <c r="AM10" s="37"/>
      <c r="AN10" s="36">
        <v>15.27</v>
      </c>
      <c r="AO10" s="37"/>
      <c r="AP10" s="40"/>
      <c r="AQ10" s="35">
        <v>5</v>
      </c>
      <c r="AR10" s="36">
        <v>9.86</v>
      </c>
      <c r="AS10" s="37"/>
      <c r="AT10" s="36">
        <v>8.0399999999999991</v>
      </c>
      <c r="AU10" s="37"/>
      <c r="AW10" s="40"/>
      <c r="AX10" s="35">
        <v>5</v>
      </c>
      <c r="AY10" s="36">
        <v>6.95</v>
      </c>
      <c r="AZ10" s="37"/>
      <c r="BA10" s="36">
        <v>5.73</v>
      </c>
      <c r="BB10" s="37"/>
    </row>
    <row r="11" spans="1:54" x14ac:dyDescent="0.35">
      <c r="A11" s="35">
        <v>6</v>
      </c>
      <c r="B11" s="36">
        <v>81.8</v>
      </c>
      <c r="C11" s="37"/>
      <c r="D11" s="36">
        <v>66.63</v>
      </c>
      <c r="E11" s="37"/>
      <c r="G11" s="35">
        <v>6</v>
      </c>
      <c r="H11" s="36">
        <v>43.89</v>
      </c>
      <c r="I11" s="37"/>
      <c r="J11" s="36">
        <v>35.909999999999997</v>
      </c>
      <c r="K11" s="37"/>
      <c r="L11" s="40"/>
      <c r="M11" s="35">
        <v>6</v>
      </c>
      <c r="N11" s="36">
        <v>18.8</v>
      </c>
      <c r="O11" s="37"/>
      <c r="P11" s="36">
        <v>15.42</v>
      </c>
      <c r="Q11" s="37"/>
      <c r="R11" s="38"/>
      <c r="S11" s="35">
        <v>6</v>
      </c>
      <c r="T11" s="36">
        <v>9.93</v>
      </c>
      <c r="U11" s="37"/>
      <c r="V11" s="36">
        <v>8.1</v>
      </c>
      <c r="W11" s="37"/>
      <c r="X11" s="39"/>
      <c r="Y11" s="35">
        <v>6</v>
      </c>
      <c r="Z11" s="36">
        <v>83.55</v>
      </c>
      <c r="AA11" s="37"/>
      <c r="AB11" s="36">
        <v>68.06</v>
      </c>
      <c r="AC11" s="37"/>
      <c r="AE11" s="35">
        <v>6</v>
      </c>
      <c r="AF11" s="36">
        <v>45.04</v>
      </c>
      <c r="AG11" s="37"/>
      <c r="AH11" s="36">
        <v>36.86</v>
      </c>
      <c r="AI11" s="37"/>
      <c r="AK11" s="35">
        <v>6</v>
      </c>
      <c r="AL11" s="36">
        <v>19.3</v>
      </c>
      <c r="AM11" s="37"/>
      <c r="AN11" s="36">
        <v>15.83</v>
      </c>
      <c r="AO11" s="37"/>
      <c r="AP11" s="40"/>
      <c r="AQ11" s="35">
        <v>6</v>
      </c>
      <c r="AR11" s="36">
        <v>10.220000000000001</v>
      </c>
      <c r="AS11" s="37"/>
      <c r="AT11" s="36">
        <v>8.33</v>
      </c>
      <c r="AU11" s="37"/>
      <c r="AW11" s="40"/>
      <c r="AX11" s="35">
        <v>6</v>
      </c>
      <c r="AY11" s="36">
        <v>7.18</v>
      </c>
      <c r="AZ11" s="37"/>
      <c r="BA11" s="36">
        <v>5.93</v>
      </c>
      <c r="BB11" s="37"/>
    </row>
    <row r="12" spans="1:54" x14ac:dyDescent="0.35">
      <c r="A12" s="35">
        <v>7</v>
      </c>
      <c r="B12" s="36">
        <v>84.9</v>
      </c>
      <c r="C12" s="37"/>
      <c r="D12" s="36">
        <v>69.05</v>
      </c>
      <c r="E12" s="37"/>
      <c r="G12" s="35">
        <v>7</v>
      </c>
      <c r="H12" s="36">
        <v>45.52</v>
      </c>
      <c r="I12" s="37"/>
      <c r="J12" s="36">
        <v>37.18</v>
      </c>
      <c r="K12" s="37"/>
      <c r="L12" s="40"/>
      <c r="M12" s="35">
        <v>7</v>
      </c>
      <c r="N12" s="36">
        <v>19.489999999999998</v>
      </c>
      <c r="O12" s="37"/>
      <c r="P12" s="36">
        <v>15.95</v>
      </c>
      <c r="Q12" s="37"/>
      <c r="R12" s="38"/>
      <c r="S12" s="35">
        <v>7</v>
      </c>
      <c r="T12" s="36">
        <v>10.3</v>
      </c>
      <c r="U12" s="37"/>
      <c r="V12" s="36">
        <v>8.42</v>
      </c>
      <c r="W12" s="37"/>
      <c r="X12" s="39"/>
      <c r="Y12" s="35">
        <v>7</v>
      </c>
      <c r="Z12" s="36">
        <v>86.8</v>
      </c>
      <c r="AA12" s="37"/>
      <c r="AB12" s="36">
        <v>70.69</v>
      </c>
      <c r="AC12" s="37"/>
      <c r="AE12" s="35">
        <v>7</v>
      </c>
      <c r="AF12" s="36">
        <v>46.76</v>
      </c>
      <c r="AG12" s="37"/>
      <c r="AH12" s="36">
        <v>38.26</v>
      </c>
      <c r="AI12" s="37"/>
      <c r="AK12" s="35">
        <v>7</v>
      </c>
      <c r="AL12" s="36">
        <v>20.02</v>
      </c>
      <c r="AM12" s="37"/>
      <c r="AN12" s="36">
        <v>16.420000000000002</v>
      </c>
      <c r="AO12" s="37"/>
      <c r="AP12" s="40"/>
      <c r="AQ12" s="35">
        <v>7</v>
      </c>
      <c r="AR12" s="36">
        <v>10.6</v>
      </c>
      <c r="AS12" s="37"/>
      <c r="AT12" s="36">
        <v>8.69</v>
      </c>
      <c r="AU12" s="37"/>
      <c r="AW12" s="40"/>
      <c r="AX12" s="35">
        <v>7</v>
      </c>
      <c r="AY12" s="36">
        <v>7.42</v>
      </c>
      <c r="AZ12" s="37"/>
      <c r="BA12" s="36">
        <v>6.12</v>
      </c>
      <c r="BB12" s="37"/>
    </row>
    <row r="13" spans="1:54" x14ac:dyDescent="0.35">
      <c r="A13" s="35">
        <v>8</v>
      </c>
      <c r="B13" s="36">
        <v>88.17</v>
      </c>
      <c r="C13" s="37"/>
      <c r="D13" s="36">
        <v>71.58</v>
      </c>
      <c r="E13" s="37"/>
      <c r="G13" s="35">
        <v>8</v>
      </c>
      <c r="H13" s="36">
        <v>47.24</v>
      </c>
      <c r="I13" s="37"/>
      <c r="J13" s="36">
        <v>38.5</v>
      </c>
      <c r="K13" s="37"/>
      <c r="L13" s="40"/>
      <c r="M13" s="35">
        <v>8</v>
      </c>
      <c r="N13" s="36">
        <v>20.21</v>
      </c>
      <c r="O13" s="37"/>
      <c r="P13" s="36">
        <v>16.510000000000002</v>
      </c>
      <c r="Q13" s="37"/>
      <c r="R13" s="38"/>
      <c r="S13" s="35">
        <v>8</v>
      </c>
      <c r="T13" s="36">
        <v>10.68</v>
      </c>
      <c r="U13" s="37"/>
      <c r="V13" s="36">
        <v>8.7200000000000006</v>
      </c>
      <c r="W13" s="37"/>
      <c r="X13" s="39"/>
      <c r="Y13" s="35">
        <v>8</v>
      </c>
      <c r="Z13" s="36">
        <v>90.24</v>
      </c>
      <c r="AA13" s="37"/>
      <c r="AB13" s="36">
        <v>73.45</v>
      </c>
      <c r="AC13" s="37"/>
      <c r="AE13" s="35">
        <v>8</v>
      </c>
      <c r="AF13" s="36">
        <v>48.59</v>
      </c>
      <c r="AG13" s="37"/>
      <c r="AH13" s="36">
        <v>39.72</v>
      </c>
      <c r="AI13" s="37"/>
      <c r="AK13" s="35">
        <v>8</v>
      </c>
      <c r="AL13" s="36">
        <v>20.79</v>
      </c>
      <c r="AM13" s="37"/>
      <c r="AN13" s="36">
        <v>17.04</v>
      </c>
      <c r="AO13" s="37"/>
      <c r="AP13" s="40"/>
      <c r="AQ13" s="35">
        <v>8</v>
      </c>
      <c r="AR13" s="36">
        <v>11.02</v>
      </c>
      <c r="AS13" s="37"/>
      <c r="AT13" s="36">
        <v>9.02</v>
      </c>
      <c r="AU13" s="37"/>
      <c r="AW13" s="40"/>
      <c r="AX13" s="35">
        <v>8</v>
      </c>
      <c r="AY13" s="36">
        <v>7.69</v>
      </c>
      <c r="AZ13" s="37"/>
      <c r="BA13" s="36">
        <v>6.32</v>
      </c>
      <c r="BB13" s="37"/>
    </row>
    <row r="14" spans="1:54" x14ac:dyDescent="0.35">
      <c r="A14" s="35">
        <v>9</v>
      </c>
      <c r="B14" s="36">
        <v>91.61</v>
      </c>
      <c r="C14" s="37"/>
      <c r="D14" s="36">
        <v>74.319999999999993</v>
      </c>
      <c r="E14" s="37"/>
      <c r="G14" s="35">
        <v>9</v>
      </c>
      <c r="H14" s="36">
        <v>49.04</v>
      </c>
      <c r="I14" s="37"/>
      <c r="J14" s="36">
        <v>39.94</v>
      </c>
      <c r="K14" s="37"/>
      <c r="L14" s="40"/>
      <c r="M14" s="35">
        <v>9</v>
      </c>
      <c r="N14" s="36">
        <v>20.96</v>
      </c>
      <c r="O14" s="37"/>
      <c r="P14" s="36">
        <v>17.11</v>
      </c>
      <c r="Q14" s="37"/>
      <c r="R14" s="38"/>
      <c r="S14" s="35">
        <v>9</v>
      </c>
      <c r="T14" s="36">
        <v>11.08</v>
      </c>
      <c r="U14" s="37"/>
      <c r="V14" s="36">
        <v>9.0399999999999991</v>
      </c>
      <c r="W14" s="37"/>
      <c r="X14" s="39"/>
      <c r="Y14" s="35">
        <v>9</v>
      </c>
      <c r="Z14" s="36">
        <v>93.86</v>
      </c>
      <c r="AA14" s="37"/>
      <c r="AB14" s="36">
        <v>76.36</v>
      </c>
      <c r="AC14" s="37"/>
      <c r="AE14" s="35">
        <v>9</v>
      </c>
      <c r="AF14" s="36">
        <v>50.51</v>
      </c>
      <c r="AG14" s="37"/>
      <c r="AH14" s="36">
        <v>41.26</v>
      </c>
      <c r="AI14" s="37"/>
      <c r="AK14" s="35">
        <v>9</v>
      </c>
      <c r="AL14" s="36">
        <v>21.6</v>
      </c>
      <c r="AM14" s="37"/>
      <c r="AN14" s="36">
        <v>17.68</v>
      </c>
      <c r="AO14" s="37"/>
      <c r="AP14" s="40"/>
      <c r="AQ14" s="35">
        <v>9</v>
      </c>
      <c r="AR14" s="36">
        <v>11.45</v>
      </c>
      <c r="AS14" s="37"/>
      <c r="AT14" s="36">
        <v>9.3699999999999992</v>
      </c>
      <c r="AU14" s="37"/>
      <c r="AW14" s="40"/>
      <c r="AX14" s="35">
        <v>9</v>
      </c>
      <c r="AY14" s="36">
        <v>7.97</v>
      </c>
      <c r="AZ14" s="37"/>
      <c r="BA14" s="36">
        <v>6.54</v>
      </c>
      <c r="BB14" s="37"/>
    </row>
    <row r="15" spans="1:54" x14ac:dyDescent="0.35">
      <c r="A15" s="35">
        <v>10</v>
      </c>
      <c r="B15" s="36">
        <v>95.21</v>
      </c>
      <c r="C15" s="37"/>
      <c r="D15" s="36">
        <v>77.209999999999994</v>
      </c>
      <c r="E15" s="37"/>
      <c r="G15" s="35">
        <v>10</v>
      </c>
      <c r="H15" s="36">
        <v>50.94</v>
      </c>
      <c r="I15" s="37"/>
      <c r="J15" s="36">
        <v>41.46</v>
      </c>
      <c r="K15" s="37"/>
      <c r="L15" s="40"/>
      <c r="M15" s="35">
        <v>10</v>
      </c>
      <c r="N15" s="36">
        <v>21.76</v>
      </c>
      <c r="O15" s="37"/>
      <c r="P15" s="36">
        <v>17.75</v>
      </c>
      <c r="Q15" s="37"/>
      <c r="R15" s="38"/>
      <c r="S15" s="35">
        <v>10</v>
      </c>
      <c r="T15" s="36">
        <v>11.5</v>
      </c>
      <c r="U15" s="37"/>
      <c r="V15" s="36">
        <v>9.3699999999999992</v>
      </c>
      <c r="W15" s="37"/>
      <c r="X15" s="39"/>
      <c r="Y15" s="35">
        <v>10</v>
      </c>
      <c r="Z15" s="36">
        <v>97.68</v>
      </c>
      <c r="AA15" s="37"/>
      <c r="AB15" s="36">
        <v>79.42</v>
      </c>
      <c r="AC15" s="37"/>
      <c r="AE15" s="35">
        <v>10</v>
      </c>
      <c r="AF15" s="36">
        <v>52.54</v>
      </c>
      <c r="AG15" s="37"/>
      <c r="AH15" s="36">
        <v>42.89</v>
      </c>
      <c r="AI15" s="37"/>
      <c r="AK15" s="35">
        <v>10</v>
      </c>
      <c r="AL15" s="36">
        <v>22.46</v>
      </c>
      <c r="AM15" s="37"/>
      <c r="AN15" s="36">
        <v>18.37</v>
      </c>
      <c r="AO15" s="37"/>
      <c r="AP15" s="40"/>
      <c r="AQ15" s="35">
        <v>10</v>
      </c>
      <c r="AR15" s="36">
        <v>11.9</v>
      </c>
      <c r="AS15" s="37"/>
      <c r="AT15" s="36">
        <v>9.73</v>
      </c>
      <c r="AU15" s="37"/>
      <c r="AW15" s="40"/>
      <c r="AX15" s="35">
        <v>10</v>
      </c>
      <c r="AY15" s="36">
        <v>8.27</v>
      </c>
      <c r="AZ15" s="37"/>
      <c r="BA15" s="36">
        <v>6.78</v>
      </c>
      <c r="BB15" s="37"/>
    </row>
    <row r="16" spans="1:54" x14ac:dyDescent="0.35">
      <c r="A16" s="35">
        <v>11</v>
      </c>
      <c r="B16" s="36">
        <v>98.99</v>
      </c>
      <c r="C16" s="37"/>
      <c r="D16" s="36">
        <v>80.25</v>
      </c>
      <c r="E16" s="37"/>
      <c r="G16" s="35">
        <v>11</v>
      </c>
      <c r="H16" s="36">
        <v>52.92</v>
      </c>
      <c r="I16" s="37"/>
      <c r="J16" s="36">
        <v>43.05</v>
      </c>
      <c r="K16" s="37"/>
      <c r="L16" s="40"/>
      <c r="M16" s="35">
        <v>11</v>
      </c>
      <c r="N16" s="36">
        <v>22.6</v>
      </c>
      <c r="O16" s="37"/>
      <c r="P16" s="36">
        <v>18.420000000000002</v>
      </c>
      <c r="Q16" s="37"/>
      <c r="R16" s="38"/>
      <c r="S16" s="35">
        <v>11</v>
      </c>
      <c r="T16" s="36">
        <v>11.95</v>
      </c>
      <c r="U16" s="37"/>
      <c r="V16" s="36">
        <v>9.73</v>
      </c>
      <c r="W16" s="37"/>
      <c r="X16" s="39"/>
      <c r="Y16" s="35">
        <v>11</v>
      </c>
      <c r="Z16" s="36">
        <v>101.67</v>
      </c>
      <c r="AA16" s="37"/>
      <c r="AB16" s="36">
        <v>82.66</v>
      </c>
      <c r="AC16" s="37"/>
      <c r="AE16" s="35">
        <v>11</v>
      </c>
      <c r="AF16" s="36">
        <v>54.67</v>
      </c>
      <c r="AG16" s="37"/>
      <c r="AH16" s="36">
        <v>44.61</v>
      </c>
      <c r="AI16" s="37"/>
      <c r="AK16" s="35">
        <v>11</v>
      </c>
      <c r="AL16" s="36">
        <v>23.36</v>
      </c>
      <c r="AM16" s="37"/>
      <c r="AN16" s="36">
        <v>19.100000000000001</v>
      </c>
      <c r="AO16" s="37"/>
      <c r="AP16" s="40"/>
      <c r="AQ16" s="35">
        <v>11</v>
      </c>
      <c r="AR16" s="36">
        <v>12.38</v>
      </c>
      <c r="AS16" s="37"/>
      <c r="AT16" s="36">
        <v>10.119999999999999</v>
      </c>
      <c r="AU16" s="37"/>
      <c r="AW16" s="40"/>
      <c r="AX16" s="35">
        <v>11</v>
      </c>
      <c r="AY16" s="36">
        <v>8.58</v>
      </c>
      <c r="AZ16" s="37"/>
      <c r="BA16" s="36">
        <v>7.03</v>
      </c>
      <c r="BB16" s="37"/>
    </row>
    <row r="17" spans="1:54" x14ac:dyDescent="0.35">
      <c r="A17" s="35">
        <v>12</v>
      </c>
      <c r="B17" s="36">
        <v>102.97</v>
      </c>
      <c r="C17" s="37"/>
      <c r="D17" s="36">
        <v>83.44</v>
      </c>
      <c r="E17" s="37"/>
      <c r="G17" s="35">
        <v>12</v>
      </c>
      <c r="H17" s="36">
        <v>55.01</v>
      </c>
      <c r="I17" s="37"/>
      <c r="J17" s="36">
        <v>44.73</v>
      </c>
      <c r="K17" s="37"/>
      <c r="L17" s="40"/>
      <c r="M17" s="35">
        <v>12</v>
      </c>
      <c r="N17" s="36">
        <v>23.48</v>
      </c>
      <c r="O17" s="37"/>
      <c r="P17" s="36">
        <v>19.14</v>
      </c>
      <c r="Q17" s="37"/>
      <c r="R17" s="38"/>
      <c r="S17" s="35">
        <v>12</v>
      </c>
      <c r="T17" s="36">
        <v>12.42</v>
      </c>
      <c r="U17" s="37"/>
      <c r="V17" s="36">
        <v>10.1</v>
      </c>
      <c r="W17" s="37"/>
      <c r="X17" s="39"/>
      <c r="Y17" s="35">
        <v>12</v>
      </c>
      <c r="Z17" s="36">
        <v>105.89</v>
      </c>
      <c r="AA17" s="37"/>
      <c r="AB17" s="36">
        <v>86.08</v>
      </c>
      <c r="AC17" s="37"/>
      <c r="AE17" s="35">
        <v>12</v>
      </c>
      <c r="AF17" s="36">
        <v>56.92</v>
      </c>
      <c r="AG17" s="37"/>
      <c r="AH17" s="36">
        <v>46.44</v>
      </c>
      <c r="AI17" s="37"/>
      <c r="AK17" s="35">
        <v>12</v>
      </c>
      <c r="AL17" s="36">
        <v>24.3</v>
      </c>
      <c r="AM17" s="37"/>
      <c r="AN17" s="36">
        <v>19.87</v>
      </c>
      <c r="AO17" s="37"/>
      <c r="AP17" s="40"/>
      <c r="AQ17" s="35">
        <v>12</v>
      </c>
      <c r="AR17" s="36">
        <v>12.89</v>
      </c>
      <c r="AS17" s="37"/>
      <c r="AT17" s="36">
        <v>10.53</v>
      </c>
      <c r="AU17" s="37"/>
      <c r="AW17" s="40"/>
      <c r="AX17" s="35">
        <v>12</v>
      </c>
      <c r="AY17" s="36">
        <v>8.91</v>
      </c>
      <c r="AZ17" s="37"/>
      <c r="BA17" s="36">
        <v>7.29</v>
      </c>
      <c r="BB17" s="37"/>
    </row>
    <row r="18" spans="1:54" x14ac:dyDescent="0.35">
      <c r="A18" s="35">
        <v>13</v>
      </c>
      <c r="B18" s="36">
        <v>107.13</v>
      </c>
      <c r="C18" s="37"/>
      <c r="D18" s="36">
        <v>86.76</v>
      </c>
      <c r="E18" s="37"/>
      <c r="G18" s="35">
        <v>13</v>
      </c>
      <c r="H18" s="36">
        <v>57.2</v>
      </c>
      <c r="I18" s="37"/>
      <c r="J18" s="36">
        <v>46.48</v>
      </c>
      <c r="K18" s="37"/>
      <c r="L18" s="40"/>
      <c r="M18" s="35">
        <v>13</v>
      </c>
      <c r="N18" s="36">
        <v>24.41</v>
      </c>
      <c r="O18" s="37"/>
      <c r="P18" s="36">
        <v>19.88</v>
      </c>
      <c r="Q18" s="37"/>
      <c r="R18" s="38"/>
      <c r="S18" s="35">
        <v>13</v>
      </c>
      <c r="T18" s="36">
        <v>12.91</v>
      </c>
      <c r="U18" s="37"/>
      <c r="V18" s="36">
        <v>10.5</v>
      </c>
      <c r="W18" s="37"/>
      <c r="X18" s="39"/>
      <c r="Y18" s="35">
        <v>13</v>
      </c>
      <c r="Z18" s="36">
        <v>110.32</v>
      </c>
      <c r="AA18" s="37"/>
      <c r="AB18" s="36">
        <v>89.64</v>
      </c>
      <c r="AC18" s="37"/>
      <c r="AE18" s="35">
        <v>13</v>
      </c>
      <c r="AF18" s="36">
        <v>59.28</v>
      </c>
      <c r="AG18" s="37"/>
      <c r="AH18" s="36">
        <v>48.34</v>
      </c>
      <c r="AI18" s="37"/>
      <c r="AK18" s="35">
        <v>13</v>
      </c>
      <c r="AL18" s="36">
        <v>25.3</v>
      </c>
      <c r="AM18" s="37"/>
      <c r="AN18" s="36">
        <v>20.68</v>
      </c>
      <c r="AO18" s="37"/>
      <c r="AP18" s="40"/>
      <c r="AQ18" s="35">
        <v>13</v>
      </c>
      <c r="AR18" s="36">
        <v>13.43</v>
      </c>
      <c r="AS18" s="37"/>
      <c r="AT18" s="36">
        <v>10.96</v>
      </c>
      <c r="AU18" s="37"/>
      <c r="AW18" s="40"/>
      <c r="AX18" s="35">
        <v>13</v>
      </c>
      <c r="AY18" s="36">
        <v>9.26</v>
      </c>
      <c r="AZ18" s="37"/>
      <c r="BA18" s="36">
        <v>7.57</v>
      </c>
      <c r="BB18" s="37"/>
    </row>
    <row r="19" spans="1:54" x14ac:dyDescent="0.35">
      <c r="A19" s="35">
        <v>14</v>
      </c>
      <c r="B19" s="36">
        <v>111.48</v>
      </c>
      <c r="C19" s="37"/>
      <c r="D19" s="36">
        <v>90.2</v>
      </c>
      <c r="E19" s="37"/>
      <c r="G19" s="35">
        <v>14</v>
      </c>
      <c r="H19" s="36">
        <v>59.5</v>
      </c>
      <c r="I19" s="37"/>
      <c r="J19" s="36">
        <v>48.29</v>
      </c>
      <c r="K19" s="37"/>
      <c r="L19" s="40"/>
      <c r="M19" s="35">
        <v>14</v>
      </c>
      <c r="N19" s="36">
        <v>25.38</v>
      </c>
      <c r="O19" s="37"/>
      <c r="P19" s="36">
        <v>20.64</v>
      </c>
      <c r="Q19" s="37"/>
      <c r="R19" s="38"/>
      <c r="S19" s="35">
        <v>14</v>
      </c>
      <c r="T19" s="36">
        <v>13.43</v>
      </c>
      <c r="U19" s="37"/>
      <c r="V19" s="36">
        <v>10.9</v>
      </c>
      <c r="W19" s="37"/>
      <c r="X19" s="39"/>
      <c r="Y19" s="35">
        <v>14</v>
      </c>
      <c r="Z19" s="36">
        <v>114.96</v>
      </c>
      <c r="AA19" s="37"/>
      <c r="AB19" s="36">
        <v>93.34</v>
      </c>
      <c r="AC19" s="37"/>
      <c r="AE19" s="35">
        <v>14</v>
      </c>
      <c r="AF19" s="36">
        <v>61.76</v>
      </c>
      <c r="AG19" s="37"/>
      <c r="AH19" s="36">
        <v>50.32</v>
      </c>
      <c r="AI19" s="37"/>
      <c r="AK19" s="35">
        <v>14</v>
      </c>
      <c r="AL19" s="36">
        <v>26.36</v>
      </c>
      <c r="AM19" s="37"/>
      <c r="AN19" s="36">
        <v>21.52</v>
      </c>
      <c r="AO19" s="37"/>
      <c r="AP19" s="40"/>
      <c r="AQ19" s="35">
        <v>14</v>
      </c>
      <c r="AR19" s="36">
        <v>14</v>
      </c>
      <c r="AS19" s="37"/>
      <c r="AT19" s="36">
        <v>11.4</v>
      </c>
      <c r="AU19" s="37"/>
      <c r="AW19" s="40"/>
      <c r="AX19" s="35">
        <v>14</v>
      </c>
      <c r="AY19" s="36">
        <v>9.6300000000000008</v>
      </c>
      <c r="AZ19" s="37"/>
      <c r="BA19" s="36">
        <v>7.86</v>
      </c>
      <c r="BB19" s="37"/>
    </row>
    <row r="20" spans="1:54" x14ac:dyDescent="0.35">
      <c r="A20" s="35">
        <v>15</v>
      </c>
      <c r="B20" s="36">
        <v>115.97</v>
      </c>
      <c r="C20" s="37"/>
      <c r="D20" s="36">
        <v>93.79</v>
      </c>
      <c r="E20" s="37"/>
      <c r="G20" s="35">
        <v>15</v>
      </c>
      <c r="H20" s="36">
        <v>61.86</v>
      </c>
      <c r="I20" s="37"/>
      <c r="J20" s="36">
        <v>50.18</v>
      </c>
      <c r="K20" s="37"/>
      <c r="L20" s="40"/>
      <c r="M20" s="35">
        <v>15</v>
      </c>
      <c r="N20" s="36">
        <v>26.38</v>
      </c>
      <c r="O20" s="37"/>
      <c r="P20" s="36">
        <v>21.43</v>
      </c>
      <c r="Q20" s="37"/>
      <c r="R20" s="38"/>
      <c r="S20" s="35">
        <v>15</v>
      </c>
      <c r="T20" s="36">
        <v>13.96</v>
      </c>
      <c r="U20" s="37"/>
      <c r="V20" s="36">
        <v>11.32</v>
      </c>
      <c r="W20" s="37"/>
      <c r="X20" s="39"/>
      <c r="Y20" s="35">
        <v>15</v>
      </c>
      <c r="Z20" s="36">
        <v>119.78</v>
      </c>
      <c r="AA20" s="37"/>
      <c r="AB20" s="36">
        <v>97.21</v>
      </c>
      <c r="AC20" s="37"/>
      <c r="AE20" s="35">
        <v>15</v>
      </c>
      <c r="AF20" s="36">
        <v>64.34</v>
      </c>
      <c r="AG20" s="37"/>
      <c r="AH20" s="36">
        <v>52.39</v>
      </c>
      <c r="AI20" s="37"/>
      <c r="AK20" s="35">
        <v>15</v>
      </c>
      <c r="AL20" s="36">
        <v>27.45</v>
      </c>
      <c r="AM20" s="37"/>
      <c r="AN20" s="36">
        <v>22.39</v>
      </c>
      <c r="AO20" s="37"/>
      <c r="AP20" s="40"/>
      <c r="AQ20" s="35">
        <v>15</v>
      </c>
      <c r="AR20" s="36">
        <v>14.58</v>
      </c>
      <c r="AS20" s="37"/>
      <c r="AT20" s="36">
        <v>11.87</v>
      </c>
      <c r="AU20" s="37"/>
      <c r="AW20" s="40"/>
      <c r="AX20" s="35">
        <v>15</v>
      </c>
      <c r="AY20" s="36">
        <v>10.08</v>
      </c>
      <c r="AZ20" s="37"/>
      <c r="BA20" s="36">
        <v>8.16</v>
      </c>
      <c r="BB20" s="37"/>
    </row>
    <row r="21" spans="1:54" x14ac:dyDescent="0.35">
      <c r="A21" s="35">
        <v>16</v>
      </c>
      <c r="B21" s="36">
        <v>120.65</v>
      </c>
      <c r="C21" s="37"/>
      <c r="D21" s="36">
        <v>97.54</v>
      </c>
      <c r="E21" s="37"/>
      <c r="G21" s="35">
        <v>16</v>
      </c>
      <c r="H21" s="36">
        <v>64.33</v>
      </c>
      <c r="I21" s="37"/>
      <c r="J21" s="36">
        <v>52.15</v>
      </c>
      <c r="K21" s="37"/>
      <c r="L21" s="40"/>
      <c r="M21" s="35">
        <v>16</v>
      </c>
      <c r="N21" s="36">
        <v>27.43</v>
      </c>
      <c r="O21" s="37"/>
      <c r="P21" s="36">
        <v>22.27</v>
      </c>
      <c r="Q21" s="37"/>
      <c r="R21" s="38"/>
      <c r="S21" s="35">
        <v>16</v>
      </c>
      <c r="T21" s="36">
        <v>14.52</v>
      </c>
      <c r="U21" s="37"/>
      <c r="V21" s="36">
        <v>11.77</v>
      </c>
      <c r="W21" s="37"/>
      <c r="X21" s="39"/>
      <c r="Y21" s="35">
        <v>16</v>
      </c>
      <c r="Z21" s="36">
        <v>124.8</v>
      </c>
      <c r="AA21" s="37"/>
      <c r="AB21" s="36">
        <v>101.27</v>
      </c>
      <c r="AC21" s="37"/>
      <c r="AE21" s="35">
        <v>16</v>
      </c>
      <c r="AF21" s="36">
        <v>67.02</v>
      </c>
      <c r="AG21" s="37"/>
      <c r="AH21" s="36">
        <v>54.55</v>
      </c>
      <c r="AI21" s="37"/>
      <c r="AK21" s="35">
        <v>16</v>
      </c>
      <c r="AL21" s="36">
        <v>28.58</v>
      </c>
      <c r="AM21" s="37"/>
      <c r="AN21" s="36">
        <v>23.3</v>
      </c>
      <c r="AO21" s="37"/>
      <c r="AP21" s="40"/>
      <c r="AQ21" s="35">
        <v>16</v>
      </c>
      <c r="AR21" s="36">
        <v>15.2</v>
      </c>
      <c r="AS21" s="37"/>
      <c r="AT21" s="36">
        <v>12.36</v>
      </c>
      <c r="AU21" s="37"/>
      <c r="AW21" s="40"/>
      <c r="AX21" s="35">
        <v>16</v>
      </c>
      <c r="AY21" s="36">
        <v>10.49</v>
      </c>
      <c r="AZ21" s="37"/>
      <c r="BA21" s="36">
        <v>8.4600000000000009</v>
      </c>
      <c r="BB21" s="37"/>
    </row>
    <row r="22" spans="1:54" x14ac:dyDescent="0.35">
      <c r="A22" s="35">
        <v>17</v>
      </c>
      <c r="B22" s="36">
        <v>125.51</v>
      </c>
      <c r="C22" s="37"/>
      <c r="D22" s="36">
        <v>101.48</v>
      </c>
      <c r="E22" s="37"/>
      <c r="G22" s="35">
        <v>17</v>
      </c>
      <c r="H22" s="36">
        <v>66.88</v>
      </c>
      <c r="I22" s="37"/>
      <c r="J22" s="36">
        <v>54.23</v>
      </c>
      <c r="K22" s="37"/>
      <c r="L22" s="40"/>
      <c r="M22" s="35">
        <v>17</v>
      </c>
      <c r="N22" s="36">
        <v>28.5</v>
      </c>
      <c r="O22" s="37"/>
      <c r="P22" s="36">
        <v>23.14</v>
      </c>
      <c r="Q22" s="37"/>
      <c r="R22" s="38"/>
      <c r="S22" s="35">
        <v>17</v>
      </c>
      <c r="T22" s="36">
        <v>15.1</v>
      </c>
      <c r="U22" s="37"/>
      <c r="V22" s="36">
        <v>12.23</v>
      </c>
      <c r="W22" s="37"/>
      <c r="X22" s="39"/>
      <c r="Y22" s="35">
        <v>17</v>
      </c>
      <c r="Z22" s="36">
        <v>130.05000000000001</v>
      </c>
      <c r="AA22" s="37"/>
      <c r="AB22" s="36">
        <v>105.56</v>
      </c>
      <c r="AC22" s="37"/>
      <c r="AE22" s="35">
        <v>17</v>
      </c>
      <c r="AF22" s="36">
        <v>69.78</v>
      </c>
      <c r="AG22" s="37"/>
      <c r="AH22" s="36">
        <v>56.85</v>
      </c>
      <c r="AI22" s="37"/>
      <c r="AK22" s="35">
        <v>17</v>
      </c>
      <c r="AL22" s="36">
        <v>29.78</v>
      </c>
      <c r="AM22" s="37"/>
      <c r="AN22" s="36">
        <v>24.28</v>
      </c>
      <c r="AO22" s="37"/>
      <c r="AP22" s="40"/>
      <c r="AQ22" s="35">
        <v>17</v>
      </c>
      <c r="AR22" s="36">
        <v>15.84</v>
      </c>
      <c r="AS22" s="37"/>
      <c r="AT22" s="36">
        <v>12.89</v>
      </c>
      <c r="AU22" s="37"/>
      <c r="AW22" s="40"/>
      <c r="AX22" s="35">
        <v>17</v>
      </c>
      <c r="AY22" s="36">
        <v>10.9</v>
      </c>
      <c r="AZ22" s="37"/>
      <c r="BA22" s="36">
        <v>8.7899999999999991</v>
      </c>
      <c r="BB22" s="37"/>
    </row>
    <row r="23" spans="1:54" x14ac:dyDescent="0.35">
      <c r="A23" s="35">
        <v>18</v>
      </c>
      <c r="B23" s="36">
        <v>130.58000000000001</v>
      </c>
      <c r="C23" s="37"/>
      <c r="D23" s="36">
        <v>105.57</v>
      </c>
      <c r="E23" s="37"/>
      <c r="G23" s="35">
        <v>18</v>
      </c>
      <c r="H23" s="36">
        <v>69.5</v>
      </c>
      <c r="I23" s="37"/>
      <c r="J23" s="36">
        <v>56.38</v>
      </c>
      <c r="K23" s="37"/>
      <c r="L23" s="40"/>
      <c r="M23" s="35">
        <v>18</v>
      </c>
      <c r="N23" s="36">
        <v>29.63</v>
      </c>
      <c r="O23" s="37"/>
      <c r="P23" s="36">
        <v>24.05</v>
      </c>
      <c r="Q23" s="37"/>
      <c r="R23" s="38"/>
      <c r="S23" s="35">
        <v>18</v>
      </c>
      <c r="T23" s="36">
        <v>15.71</v>
      </c>
      <c r="U23" s="37"/>
      <c r="V23" s="36">
        <v>12.72</v>
      </c>
      <c r="W23" s="37"/>
      <c r="X23" s="39"/>
      <c r="Y23" s="35">
        <v>18</v>
      </c>
      <c r="Z23" s="36">
        <v>135.53</v>
      </c>
      <c r="AA23" s="37"/>
      <c r="AB23" s="36">
        <v>110.03</v>
      </c>
      <c r="AC23" s="37"/>
      <c r="AE23" s="35">
        <v>18</v>
      </c>
      <c r="AF23" s="36">
        <v>72.72</v>
      </c>
      <c r="AG23" s="37"/>
      <c r="AH23" s="36">
        <v>59.26</v>
      </c>
      <c r="AI23" s="37"/>
      <c r="AK23" s="35">
        <v>18</v>
      </c>
      <c r="AL23" s="36">
        <v>31.02</v>
      </c>
      <c r="AM23" s="37"/>
      <c r="AN23" s="36">
        <v>25.29</v>
      </c>
      <c r="AO23" s="37"/>
      <c r="AP23" s="40"/>
      <c r="AQ23" s="35">
        <v>18</v>
      </c>
      <c r="AR23" s="36">
        <v>16.52</v>
      </c>
      <c r="AS23" s="37"/>
      <c r="AT23" s="36">
        <v>13.43</v>
      </c>
      <c r="AU23" s="37"/>
      <c r="AW23" s="40"/>
      <c r="AX23" s="35">
        <v>18</v>
      </c>
      <c r="AY23" s="36">
        <v>11.35</v>
      </c>
      <c r="AZ23" s="37"/>
      <c r="BA23" s="36">
        <v>9.14</v>
      </c>
      <c r="BB23" s="37"/>
    </row>
    <row r="24" spans="1:54" x14ac:dyDescent="0.35">
      <c r="A24" s="35">
        <v>19</v>
      </c>
      <c r="B24" s="36">
        <v>135.85</v>
      </c>
      <c r="C24" s="37"/>
      <c r="D24" s="36">
        <v>109.86</v>
      </c>
      <c r="E24" s="37"/>
      <c r="G24" s="35">
        <v>19</v>
      </c>
      <c r="H24" s="36">
        <v>72.3</v>
      </c>
      <c r="I24" s="37"/>
      <c r="J24" s="36">
        <v>58.65</v>
      </c>
      <c r="K24" s="37"/>
      <c r="L24" s="40"/>
      <c r="M24" s="35">
        <v>19</v>
      </c>
      <c r="N24" s="36">
        <v>30.82</v>
      </c>
      <c r="O24" s="37"/>
      <c r="P24" s="36">
        <v>25</v>
      </c>
      <c r="Q24" s="37"/>
      <c r="R24" s="38"/>
      <c r="S24" s="35">
        <v>19</v>
      </c>
      <c r="T24" s="36">
        <v>16.34</v>
      </c>
      <c r="U24" s="37"/>
      <c r="V24" s="36">
        <v>13.23</v>
      </c>
      <c r="W24" s="37"/>
      <c r="X24" s="39"/>
      <c r="Y24" s="35">
        <v>19</v>
      </c>
      <c r="Z24" s="36">
        <v>141.26</v>
      </c>
      <c r="AA24" s="37"/>
      <c r="AB24" s="36">
        <v>114.72</v>
      </c>
      <c r="AC24" s="37"/>
      <c r="AE24" s="35">
        <v>19</v>
      </c>
      <c r="AF24" s="36">
        <v>75.81</v>
      </c>
      <c r="AG24" s="37"/>
      <c r="AH24" s="36">
        <v>61.77</v>
      </c>
      <c r="AI24" s="37"/>
      <c r="AK24" s="35">
        <v>19</v>
      </c>
      <c r="AL24" s="36">
        <v>32.33</v>
      </c>
      <c r="AM24" s="37"/>
      <c r="AN24" s="36">
        <v>26.36</v>
      </c>
      <c r="AO24" s="37"/>
      <c r="AP24" s="40"/>
      <c r="AQ24" s="35">
        <v>19</v>
      </c>
      <c r="AR24" s="36">
        <v>17.22</v>
      </c>
      <c r="AS24" s="37"/>
      <c r="AT24" s="36">
        <v>14.01</v>
      </c>
      <c r="AU24" s="37"/>
      <c r="AW24" s="40"/>
      <c r="AX24" s="35">
        <v>19</v>
      </c>
      <c r="AY24" s="36">
        <v>11.81</v>
      </c>
      <c r="AZ24" s="37"/>
      <c r="BA24" s="36">
        <v>9.49</v>
      </c>
      <c r="BB24" s="37"/>
    </row>
    <row r="25" spans="1:54" x14ac:dyDescent="0.35">
      <c r="A25" s="35">
        <v>20</v>
      </c>
      <c r="B25" s="36">
        <v>141.35</v>
      </c>
      <c r="C25" s="37"/>
      <c r="D25" s="36">
        <v>114.32</v>
      </c>
      <c r="E25" s="37"/>
      <c r="G25" s="35">
        <v>20</v>
      </c>
      <c r="H25" s="36">
        <v>75.209999999999994</v>
      </c>
      <c r="I25" s="37"/>
      <c r="J25" s="36">
        <v>61</v>
      </c>
      <c r="K25" s="37"/>
      <c r="L25" s="40"/>
      <c r="M25" s="35">
        <v>20</v>
      </c>
      <c r="N25" s="36">
        <v>32.04</v>
      </c>
      <c r="O25" s="37"/>
      <c r="P25" s="36">
        <v>26</v>
      </c>
      <c r="Q25" s="37"/>
      <c r="R25" s="38"/>
      <c r="S25" s="35">
        <v>20</v>
      </c>
      <c r="T25" s="36">
        <v>17</v>
      </c>
      <c r="U25" s="37"/>
      <c r="V25" s="36">
        <v>13.76</v>
      </c>
      <c r="W25" s="37"/>
      <c r="X25" s="39"/>
      <c r="Y25" s="35">
        <v>20</v>
      </c>
      <c r="Z25" s="36">
        <v>147.25</v>
      </c>
      <c r="AA25" s="37"/>
      <c r="AB25" s="36">
        <v>119.63</v>
      </c>
      <c r="AC25" s="37"/>
      <c r="AE25" s="35">
        <v>20</v>
      </c>
      <c r="AF25" s="36">
        <v>79.040000000000006</v>
      </c>
      <c r="AG25" s="37"/>
      <c r="AH25" s="36">
        <v>64.41</v>
      </c>
      <c r="AI25" s="37"/>
      <c r="AK25" s="35">
        <v>20</v>
      </c>
      <c r="AL25" s="36">
        <v>33.69</v>
      </c>
      <c r="AM25" s="37"/>
      <c r="AN25" s="36">
        <v>27.47</v>
      </c>
      <c r="AO25" s="37"/>
      <c r="AP25" s="40"/>
      <c r="AQ25" s="35">
        <v>20</v>
      </c>
      <c r="AR25" s="36">
        <v>17.97</v>
      </c>
      <c r="AS25" s="37"/>
      <c r="AT25" s="36">
        <v>14.61</v>
      </c>
      <c r="AU25" s="37"/>
      <c r="AW25" s="40"/>
      <c r="AX25" s="35">
        <v>20</v>
      </c>
      <c r="AY25" s="36">
        <v>12.29</v>
      </c>
      <c r="AZ25" s="37"/>
      <c r="BA25" s="36">
        <v>9.8699999999999992</v>
      </c>
      <c r="BB25" s="37"/>
    </row>
    <row r="26" spans="1:54" x14ac:dyDescent="0.35">
      <c r="A26" s="35">
        <v>21</v>
      </c>
      <c r="B26" s="36">
        <v>147.03</v>
      </c>
      <c r="C26" s="37"/>
      <c r="D26" s="36">
        <v>118.99</v>
      </c>
      <c r="E26" s="37"/>
      <c r="G26" s="35">
        <v>21</v>
      </c>
      <c r="H26" s="36">
        <v>78.209999999999994</v>
      </c>
      <c r="I26" s="37"/>
      <c r="J26" s="36">
        <v>63.46</v>
      </c>
      <c r="K26" s="37"/>
      <c r="L26" s="40"/>
      <c r="M26" s="35">
        <v>21</v>
      </c>
      <c r="N26" s="36">
        <v>33.32</v>
      </c>
      <c r="O26" s="37"/>
      <c r="P26" s="36">
        <v>27.04</v>
      </c>
      <c r="Q26" s="37"/>
      <c r="R26" s="38"/>
      <c r="S26" s="35">
        <v>21</v>
      </c>
      <c r="T26" s="36">
        <v>17.68</v>
      </c>
      <c r="U26" s="37"/>
      <c r="V26" s="36">
        <v>14.32</v>
      </c>
      <c r="W26" s="37"/>
      <c r="X26" s="39"/>
      <c r="Y26" s="35">
        <v>21</v>
      </c>
      <c r="Z26" s="36">
        <v>153.47999999999999</v>
      </c>
      <c r="AA26" s="37"/>
      <c r="AB26" s="36">
        <v>124.79</v>
      </c>
      <c r="AC26" s="37"/>
      <c r="AE26" s="35">
        <v>21</v>
      </c>
      <c r="AF26" s="36">
        <v>82.4</v>
      </c>
      <c r="AG26" s="37"/>
      <c r="AH26" s="36">
        <v>67.19</v>
      </c>
      <c r="AI26" s="37"/>
      <c r="AK26" s="35">
        <v>21</v>
      </c>
      <c r="AL26" s="36">
        <v>35.119999999999997</v>
      </c>
      <c r="AM26" s="37"/>
      <c r="AN26" s="36">
        <v>28.64</v>
      </c>
      <c r="AO26" s="37"/>
      <c r="AP26" s="40"/>
      <c r="AQ26" s="35">
        <v>21</v>
      </c>
      <c r="AR26" s="36">
        <v>18.75</v>
      </c>
      <c r="AS26" s="37"/>
      <c r="AT26" s="36">
        <v>15.25</v>
      </c>
      <c r="AU26" s="37"/>
      <c r="AW26" s="40"/>
      <c r="AX26" s="35">
        <v>21</v>
      </c>
      <c r="AY26" s="36">
        <v>12.77</v>
      </c>
      <c r="AZ26" s="37"/>
      <c r="BA26" s="36">
        <v>10.26</v>
      </c>
      <c r="BB26" s="37"/>
    </row>
    <row r="27" spans="1:54" x14ac:dyDescent="0.35">
      <c r="A27" s="35">
        <v>22</v>
      </c>
      <c r="B27" s="36">
        <v>152.94</v>
      </c>
      <c r="C27" s="37"/>
      <c r="D27" s="36">
        <v>123.84</v>
      </c>
      <c r="E27" s="37"/>
      <c r="G27" s="35">
        <v>22</v>
      </c>
      <c r="H27" s="36">
        <v>81.349999999999994</v>
      </c>
      <c r="I27" s="37"/>
      <c r="J27" s="36">
        <v>66.02</v>
      </c>
      <c r="K27" s="37"/>
      <c r="L27" s="40"/>
      <c r="M27" s="35">
        <v>22</v>
      </c>
      <c r="N27" s="36">
        <v>34.65</v>
      </c>
      <c r="O27" s="37"/>
      <c r="P27" s="36">
        <v>28.11</v>
      </c>
      <c r="Q27" s="37"/>
      <c r="R27" s="38"/>
      <c r="S27" s="35">
        <v>22</v>
      </c>
      <c r="T27" s="36">
        <v>18.399999999999999</v>
      </c>
      <c r="U27" s="37"/>
      <c r="V27" s="36">
        <v>14.89</v>
      </c>
      <c r="W27" s="37"/>
      <c r="X27" s="39"/>
      <c r="Y27" s="35">
        <v>22</v>
      </c>
      <c r="Z27" s="36">
        <v>159.99</v>
      </c>
      <c r="AA27" s="37"/>
      <c r="AB27" s="36">
        <v>130.19</v>
      </c>
      <c r="AC27" s="37"/>
      <c r="AE27" s="35">
        <v>22</v>
      </c>
      <c r="AF27" s="36">
        <v>85.93</v>
      </c>
      <c r="AG27" s="37"/>
      <c r="AH27" s="36">
        <v>70.040000000000006</v>
      </c>
      <c r="AI27" s="37"/>
      <c r="AK27" s="35">
        <v>22</v>
      </c>
      <c r="AL27" s="36">
        <v>36.61</v>
      </c>
      <c r="AM27" s="37"/>
      <c r="AN27" s="36">
        <v>29.88</v>
      </c>
      <c r="AO27" s="37"/>
      <c r="AP27" s="40"/>
      <c r="AQ27" s="35">
        <v>22</v>
      </c>
      <c r="AR27" s="36">
        <v>19.559999999999999</v>
      </c>
      <c r="AS27" s="37"/>
      <c r="AT27" s="36">
        <v>15.91</v>
      </c>
      <c r="AU27" s="37"/>
      <c r="AW27" s="40"/>
      <c r="AX27" s="35">
        <v>22</v>
      </c>
      <c r="AY27" s="36">
        <v>13.3</v>
      </c>
      <c r="AZ27" s="37"/>
      <c r="BA27" s="36">
        <v>10.67</v>
      </c>
      <c r="BB27" s="37"/>
    </row>
    <row r="28" spans="1:54" x14ac:dyDescent="0.35">
      <c r="A28" s="35">
        <v>23</v>
      </c>
      <c r="B28" s="36">
        <v>159.03</v>
      </c>
      <c r="C28" s="37"/>
      <c r="D28" s="36">
        <v>128.9</v>
      </c>
      <c r="E28" s="37"/>
      <c r="G28" s="35">
        <v>23</v>
      </c>
      <c r="H28" s="36">
        <v>84.57</v>
      </c>
      <c r="I28" s="37"/>
      <c r="J28" s="36">
        <v>68.69</v>
      </c>
      <c r="K28" s="37"/>
      <c r="L28" s="40"/>
      <c r="M28" s="35">
        <v>23</v>
      </c>
      <c r="N28" s="36">
        <v>36.01</v>
      </c>
      <c r="O28" s="37"/>
      <c r="P28" s="36">
        <v>29.24</v>
      </c>
      <c r="Q28" s="37"/>
      <c r="R28" s="38"/>
      <c r="S28" s="35">
        <v>23</v>
      </c>
      <c r="T28" s="36">
        <v>19.12</v>
      </c>
      <c r="U28" s="37"/>
      <c r="V28" s="36">
        <v>15.5</v>
      </c>
      <c r="W28" s="37"/>
      <c r="X28" s="39"/>
      <c r="Y28" s="35">
        <v>23</v>
      </c>
      <c r="Z28" s="36">
        <v>166.73</v>
      </c>
      <c r="AA28" s="37"/>
      <c r="AB28" s="36">
        <v>135.84</v>
      </c>
      <c r="AC28" s="37"/>
      <c r="AE28" s="35">
        <v>23</v>
      </c>
      <c r="AF28" s="36">
        <v>89.58</v>
      </c>
      <c r="AG28" s="37"/>
      <c r="AH28" s="36">
        <v>73.11</v>
      </c>
      <c r="AI28" s="37"/>
      <c r="AK28" s="35">
        <v>23</v>
      </c>
      <c r="AL28" s="36">
        <v>38.14</v>
      </c>
      <c r="AM28" s="37"/>
      <c r="AN28" s="36">
        <v>31.16</v>
      </c>
      <c r="AO28" s="37"/>
      <c r="AP28" s="40"/>
      <c r="AQ28" s="35">
        <v>23</v>
      </c>
      <c r="AR28" s="36">
        <v>20.39</v>
      </c>
      <c r="AS28" s="37"/>
      <c r="AT28" s="36">
        <v>16.61</v>
      </c>
      <c r="AU28" s="37"/>
      <c r="AW28" s="40"/>
      <c r="AX28" s="35">
        <v>23</v>
      </c>
      <c r="AY28" s="36">
        <v>13.83</v>
      </c>
      <c r="AZ28" s="37"/>
      <c r="BA28" s="36">
        <v>11.17</v>
      </c>
      <c r="BB28" s="37"/>
    </row>
    <row r="29" spans="1:54" x14ac:dyDescent="0.35">
      <c r="A29" s="35">
        <v>24</v>
      </c>
      <c r="B29" s="36">
        <v>165.36</v>
      </c>
      <c r="C29" s="37"/>
      <c r="D29" s="36">
        <v>134.16999999999999</v>
      </c>
      <c r="E29" s="37"/>
      <c r="G29" s="35">
        <v>24</v>
      </c>
      <c r="H29" s="36">
        <v>87.93</v>
      </c>
      <c r="I29" s="37"/>
      <c r="J29" s="36">
        <v>71.430000000000007</v>
      </c>
      <c r="K29" s="37"/>
      <c r="L29" s="40"/>
      <c r="M29" s="35">
        <v>24</v>
      </c>
      <c r="N29" s="36">
        <v>37.409999999999997</v>
      </c>
      <c r="O29" s="37"/>
      <c r="P29" s="36">
        <v>30.42</v>
      </c>
      <c r="Q29" s="37"/>
      <c r="R29" s="38"/>
      <c r="S29" s="35">
        <v>24</v>
      </c>
      <c r="T29" s="36">
        <v>19.87</v>
      </c>
      <c r="U29" s="37"/>
      <c r="V29" s="36">
        <v>16.13</v>
      </c>
      <c r="W29" s="37"/>
      <c r="X29" s="39"/>
      <c r="Y29" s="35">
        <v>24</v>
      </c>
      <c r="Z29" s="36">
        <v>173.76</v>
      </c>
      <c r="AA29" s="37"/>
      <c r="AB29" s="36">
        <v>141.76</v>
      </c>
      <c r="AC29" s="37"/>
      <c r="AE29" s="35">
        <v>24</v>
      </c>
      <c r="AF29" s="36">
        <v>93.39</v>
      </c>
      <c r="AG29" s="37"/>
      <c r="AH29" s="36">
        <v>76.319999999999993</v>
      </c>
      <c r="AI29" s="37"/>
      <c r="AK29" s="35">
        <v>24</v>
      </c>
      <c r="AL29" s="36">
        <v>39.74</v>
      </c>
      <c r="AM29" s="37"/>
      <c r="AN29" s="36">
        <v>32.51</v>
      </c>
      <c r="AO29" s="37"/>
      <c r="AP29" s="40"/>
      <c r="AQ29" s="35">
        <v>24</v>
      </c>
      <c r="AR29" s="36">
        <v>21.27</v>
      </c>
      <c r="AS29" s="37"/>
      <c r="AT29" s="36">
        <v>17.350000000000001</v>
      </c>
      <c r="AU29" s="37"/>
      <c r="AW29" s="40"/>
      <c r="AX29" s="35">
        <v>24</v>
      </c>
      <c r="AY29" s="36">
        <v>14.38</v>
      </c>
      <c r="AZ29" s="37"/>
      <c r="BA29" s="36">
        <v>11.63</v>
      </c>
      <c r="BB29" s="37"/>
    </row>
    <row r="30" spans="1:54" x14ac:dyDescent="0.35">
      <c r="A30" s="35">
        <v>25</v>
      </c>
      <c r="B30" s="36">
        <v>171.91</v>
      </c>
      <c r="C30" s="37"/>
      <c r="D30" s="36">
        <v>139.68</v>
      </c>
      <c r="E30" s="37"/>
      <c r="G30" s="35">
        <v>25</v>
      </c>
      <c r="H30" s="36">
        <v>91.39</v>
      </c>
      <c r="I30" s="37"/>
      <c r="J30" s="36">
        <v>74.349999999999994</v>
      </c>
      <c r="K30" s="37"/>
      <c r="L30" s="40"/>
      <c r="M30" s="35">
        <v>25</v>
      </c>
      <c r="N30" s="36">
        <v>38.869999999999997</v>
      </c>
      <c r="O30" s="37"/>
      <c r="P30" s="36">
        <v>31.64</v>
      </c>
      <c r="Q30" s="37"/>
      <c r="R30" s="38"/>
      <c r="S30" s="35">
        <v>25</v>
      </c>
      <c r="T30" s="36">
        <v>20.65</v>
      </c>
      <c r="U30" s="37"/>
      <c r="V30" s="36">
        <v>16.78</v>
      </c>
      <c r="W30" s="37"/>
      <c r="X30" s="39"/>
      <c r="Y30" s="35">
        <v>25</v>
      </c>
      <c r="Z30" s="36">
        <v>181.1</v>
      </c>
      <c r="AA30" s="37"/>
      <c r="AB30" s="36">
        <v>147.97999999999999</v>
      </c>
      <c r="AC30" s="37"/>
      <c r="AE30" s="35">
        <v>25</v>
      </c>
      <c r="AF30" s="36">
        <v>97.37</v>
      </c>
      <c r="AG30" s="37"/>
      <c r="AH30" s="36">
        <v>79.69</v>
      </c>
      <c r="AI30" s="37"/>
      <c r="AK30" s="35">
        <v>25</v>
      </c>
      <c r="AL30" s="36">
        <v>41.42</v>
      </c>
      <c r="AM30" s="37"/>
      <c r="AN30" s="36">
        <v>33.94</v>
      </c>
      <c r="AO30" s="37"/>
      <c r="AP30" s="40"/>
      <c r="AQ30" s="35">
        <v>25</v>
      </c>
      <c r="AR30" s="36">
        <v>22.19</v>
      </c>
      <c r="AS30" s="37"/>
      <c r="AT30" s="36">
        <v>18.13</v>
      </c>
      <c r="AU30" s="37"/>
      <c r="AW30" s="40"/>
      <c r="AX30" s="35">
        <v>25</v>
      </c>
      <c r="AY30" s="36">
        <v>14.94</v>
      </c>
      <c r="AZ30" s="37"/>
      <c r="BA30" s="36">
        <v>12.1</v>
      </c>
      <c r="BB30" s="37"/>
    </row>
    <row r="31" spans="1:54" x14ac:dyDescent="0.35">
      <c r="A31" s="35">
        <v>26</v>
      </c>
      <c r="B31" s="36">
        <v>178.74</v>
      </c>
      <c r="C31" s="37"/>
      <c r="D31" s="36">
        <v>145.41999999999999</v>
      </c>
      <c r="E31" s="37"/>
      <c r="G31" s="35">
        <v>26</v>
      </c>
      <c r="H31" s="36">
        <v>95.01</v>
      </c>
      <c r="I31" s="37"/>
      <c r="J31" s="36">
        <v>77.39</v>
      </c>
      <c r="K31" s="37"/>
      <c r="L31" s="40"/>
      <c r="M31" s="35">
        <v>26</v>
      </c>
      <c r="N31" s="36">
        <v>40.380000000000003</v>
      </c>
      <c r="O31" s="37"/>
      <c r="P31" s="36">
        <v>32.92</v>
      </c>
      <c r="Q31" s="37"/>
      <c r="R31" s="38"/>
      <c r="S31" s="35">
        <v>26</v>
      </c>
      <c r="T31" s="36">
        <v>21.46</v>
      </c>
      <c r="U31" s="37"/>
      <c r="V31" s="36">
        <v>17.47</v>
      </c>
      <c r="W31" s="37"/>
      <c r="X31" s="39"/>
      <c r="Y31" s="35">
        <v>26</v>
      </c>
      <c r="Z31" s="36">
        <v>188.77</v>
      </c>
      <c r="AA31" s="37"/>
      <c r="AB31" s="36">
        <v>154.5</v>
      </c>
      <c r="AC31" s="37"/>
      <c r="AE31" s="35">
        <v>26</v>
      </c>
      <c r="AF31" s="36">
        <v>101.53</v>
      </c>
      <c r="AG31" s="37"/>
      <c r="AH31" s="36">
        <v>83.23</v>
      </c>
      <c r="AI31" s="37"/>
      <c r="AK31" s="35">
        <v>26</v>
      </c>
      <c r="AL31" s="36">
        <v>43.18</v>
      </c>
      <c r="AM31" s="37"/>
      <c r="AN31" s="36">
        <v>35.43</v>
      </c>
      <c r="AO31" s="37"/>
      <c r="AP31" s="40"/>
      <c r="AQ31" s="35">
        <v>26</v>
      </c>
      <c r="AR31" s="36">
        <v>23.14</v>
      </c>
      <c r="AS31" s="37"/>
      <c r="AT31" s="36">
        <v>18.940000000000001</v>
      </c>
      <c r="AU31" s="37"/>
      <c r="AW31" s="40"/>
      <c r="AX31" s="35">
        <v>26</v>
      </c>
      <c r="AY31" s="36">
        <v>15.54</v>
      </c>
      <c r="AZ31" s="37"/>
      <c r="BA31" s="36">
        <v>12.6</v>
      </c>
      <c r="BB31" s="37"/>
    </row>
    <row r="32" spans="1:54" x14ac:dyDescent="0.35">
      <c r="A32" s="35">
        <v>27</v>
      </c>
      <c r="B32" s="36">
        <v>185.86</v>
      </c>
      <c r="C32" s="37"/>
      <c r="D32" s="36">
        <v>151.44</v>
      </c>
      <c r="E32" s="37"/>
      <c r="G32" s="35">
        <v>27</v>
      </c>
      <c r="H32" s="36">
        <v>98.77</v>
      </c>
      <c r="I32" s="37"/>
      <c r="J32" s="36">
        <v>80.58</v>
      </c>
      <c r="K32" s="37"/>
      <c r="L32" s="40"/>
      <c r="M32" s="35">
        <v>27</v>
      </c>
      <c r="N32" s="36">
        <v>41.97</v>
      </c>
      <c r="O32" s="37"/>
      <c r="P32" s="36">
        <v>34.26</v>
      </c>
      <c r="Q32" s="37"/>
      <c r="R32" s="38"/>
      <c r="S32" s="35">
        <v>27</v>
      </c>
      <c r="T32" s="36">
        <v>22.31</v>
      </c>
      <c r="U32" s="37"/>
      <c r="V32" s="36">
        <v>18.190000000000001</v>
      </c>
      <c r="W32" s="37"/>
      <c r="X32" s="39"/>
      <c r="Y32" s="35">
        <v>27</v>
      </c>
      <c r="Z32" s="36">
        <v>196.82</v>
      </c>
      <c r="AA32" s="37"/>
      <c r="AB32" s="36">
        <v>161.38</v>
      </c>
      <c r="AC32" s="37"/>
      <c r="AE32" s="35">
        <v>27</v>
      </c>
      <c r="AF32" s="36">
        <v>105.9</v>
      </c>
      <c r="AG32" s="37"/>
      <c r="AH32" s="36">
        <v>86.98</v>
      </c>
      <c r="AI32" s="37"/>
      <c r="AK32" s="35">
        <v>27</v>
      </c>
      <c r="AL32" s="36">
        <v>45.02</v>
      </c>
      <c r="AM32" s="37"/>
      <c r="AN32" s="36">
        <v>37.01</v>
      </c>
      <c r="AO32" s="37"/>
      <c r="AP32" s="40"/>
      <c r="AQ32" s="35">
        <v>27</v>
      </c>
      <c r="AR32" s="36">
        <v>24.15</v>
      </c>
      <c r="AS32" s="37"/>
      <c r="AT32" s="36">
        <v>19.82</v>
      </c>
      <c r="AU32" s="37"/>
      <c r="AW32" s="40"/>
      <c r="AX32" s="35">
        <v>27</v>
      </c>
      <c r="AY32" s="36">
        <v>16.16</v>
      </c>
      <c r="AZ32" s="37"/>
      <c r="BA32" s="36">
        <v>13.13</v>
      </c>
      <c r="BB32" s="37"/>
    </row>
    <row r="33" spans="1:54" x14ac:dyDescent="0.35">
      <c r="A33" s="35">
        <v>28</v>
      </c>
      <c r="B33" s="36">
        <v>193.33</v>
      </c>
      <c r="C33" s="37"/>
      <c r="D33" s="36">
        <v>157.71</v>
      </c>
      <c r="E33" s="37"/>
      <c r="G33" s="35">
        <v>28</v>
      </c>
      <c r="H33" s="36">
        <v>102.72</v>
      </c>
      <c r="I33" s="37"/>
      <c r="J33" s="36">
        <v>83.91</v>
      </c>
      <c r="K33" s="37"/>
      <c r="L33" s="40"/>
      <c r="M33" s="35">
        <v>28</v>
      </c>
      <c r="N33" s="36">
        <v>43.63</v>
      </c>
      <c r="O33" s="37"/>
      <c r="P33" s="36">
        <v>35.659999999999997</v>
      </c>
      <c r="Q33" s="37"/>
      <c r="R33" s="38"/>
      <c r="S33" s="35">
        <v>28</v>
      </c>
      <c r="T33" s="36">
        <v>23.2</v>
      </c>
      <c r="U33" s="37"/>
      <c r="V33" s="36">
        <v>18.93</v>
      </c>
      <c r="W33" s="37"/>
      <c r="X33" s="39"/>
      <c r="Y33" s="35">
        <v>28</v>
      </c>
      <c r="Z33" s="36">
        <v>205.31</v>
      </c>
      <c r="AA33" s="37"/>
      <c r="AB33" s="36">
        <v>168.59</v>
      </c>
      <c r="AC33" s="37"/>
      <c r="AE33" s="35">
        <v>28</v>
      </c>
      <c r="AF33" s="36">
        <v>110.52</v>
      </c>
      <c r="AG33" s="37"/>
      <c r="AH33" s="36">
        <v>90.92</v>
      </c>
      <c r="AI33" s="37"/>
      <c r="AK33" s="35">
        <v>28</v>
      </c>
      <c r="AL33" s="36">
        <v>46.96</v>
      </c>
      <c r="AM33" s="37"/>
      <c r="AN33" s="36">
        <v>38.65</v>
      </c>
      <c r="AO33" s="37"/>
      <c r="AP33" s="40"/>
      <c r="AQ33" s="35">
        <v>28</v>
      </c>
      <c r="AR33" s="36">
        <v>25.21</v>
      </c>
      <c r="AS33" s="37"/>
      <c r="AT33" s="36">
        <v>20.72</v>
      </c>
      <c r="AU33" s="37"/>
      <c r="AW33" s="40"/>
      <c r="AX33" s="35">
        <v>28</v>
      </c>
      <c r="AY33" s="36">
        <v>16.809999999999999</v>
      </c>
      <c r="AZ33" s="37"/>
      <c r="BA33" s="36">
        <v>13.67</v>
      </c>
      <c r="BB33" s="37"/>
    </row>
    <row r="34" spans="1:54" x14ac:dyDescent="0.35">
      <c r="A34" s="35">
        <v>29</v>
      </c>
      <c r="B34" s="36">
        <v>201.15</v>
      </c>
      <c r="C34" s="37"/>
      <c r="D34" s="36">
        <v>164.25</v>
      </c>
      <c r="E34" s="37"/>
      <c r="G34" s="35">
        <v>29</v>
      </c>
      <c r="H34" s="36">
        <v>106.87</v>
      </c>
      <c r="I34" s="37"/>
      <c r="J34" s="36">
        <v>87.37</v>
      </c>
      <c r="K34" s="37"/>
      <c r="L34" s="40"/>
      <c r="M34" s="35">
        <v>29</v>
      </c>
      <c r="N34" s="36">
        <v>45.38</v>
      </c>
      <c r="O34" s="37"/>
      <c r="P34" s="36">
        <v>37.1</v>
      </c>
      <c r="Q34" s="37"/>
      <c r="R34" s="38"/>
      <c r="S34" s="35">
        <v>29</v>
      </c>
      <c r="T34" s="36">
        <v>24.14</v>
      </c>
      <c r="U34" s="37"/>
      <c r="V34" s="36">
        <v>19.71</v>
      </c>
      <c r="W34" s="37"/>
      <c r="X34" s="39"/>
      <c r="Y34" s="35">
        <v>29</v>
      </c>
      <c r="Z34" s="36">
        <v>214.25</v>
      </c>
      <c r="AA34" s="37"/>
      <c r="AB34" s="36">
        <v>176.16</v>
      </c>
      <c r="AC34" s="37"/>
      <c r="AE34" s="35">
        <v>29</v>
      </c>
      <c r="AF34" s="36">
        <v>115.39</v>
      </c>
      <c r="AG34" s="37"/>
      <c r="AH34" s="36">
        <v>95.05</v>
      </c>
      <c r="AI34" s="37"/>
      <c r="AK34" s="35">
        <v>29</v>
      </c>
      <c r="AL34" s="36">
        <v>49.02</v>
      </c>
      <c r="AM34" s="37"/>
      <c r="AN34" s="36">
        <v>40.39</v>
      </c>
      <c r="AO34" s="37"/>
      <c r="AP34" s="40"/>
      <c r="AQ34" s="35">
        <v>29</v>
      </c>
      <c r="AR34" s="36">
        <v>26.35</v>
      </c>
      <c r="AS34" s="37"/>
      <c r="AT34" s="36">
        <v>21.68</v>
      </c>
      <c r="AU34" s="37"/>
      <c r="AW34" s="40"/>
      <c r="AX34" s="35">
        <v>29</v>
      </c>
      <c r="AY34" s="36">
        <v>17.510000000000002</v>
      </c>
      <c r="AZ34" s="37"/>
      <c r="BA34" s="36">
        <v>14.25</v>
      </c>
      <c r="BB34" s="37"/>
    </row>
    <row r="35" spans="1:54" x14ac:dyDescent="0.35">
      <c r="A35" s="35">
        <v>30</v>
      </c>
      <c r="B35" s="36">
        <v>209.28</v>
      </c>
      <c r="C35" s="37"/>
      <c r="D35" s="36">
        <v>171.07</v>
      </c>
      <c r="E35" s="37"/>
      <c r="G35" s="35">
        <v>30</v>
      </c>
      <c r="H35" s="36">
        <v>111.18</v>
      </c>
      <c r="I35" s="37"/>
      <c r="J35" s="36">
        <v>90.99</v>
      </c>
      <c r="K35" s="37"/>
      <c r="L35" s="40"/>
      <c r="M35" s="35">
        <v>30</v>
      </c>
      <c r="N35" s="36">
        <v>47.2</v>
      </c>
      <c r="O35" s="37"/>
      <c r="P35" s="36">
        <v>38.630000000000003</v>
      </c>
      <c r="Q35" s="37"/>
      <c r="R35" s="38"/>
      <c r="S35" s="35">
        <v>30</v>
      </c>
      <c r="T35" s="36">
        <v>25.12</v>
      </c>
      <c r="U35" s="37"/>
      <c r="V35" s="36">
        <v>20.53</v>
      </c>
      <c r="W35" s="37"/>
      <c r="X35" s="39"/>
      <c r="Y35" s="35">
        <v>30</v>
      </c>
      <c r="Z35" s="36">
        <v>223.6</v>
      </c>
      <c r="AA35" s="37"/>
      <c r="AB35" s="36">
        <v>184.13</v>
      </c>
      <c r="AC35" s="37"/>
      <c r="AE35" s="35">
        <v>30</v>
      </c>
      <c r="AF35" s="36">
        <v>120.4</v>
      </c>
      <c r="AG35" s="37"/>
      <c r="AH35" s="36">
        <v>99.4</v>
      </c>
      <c r="AI35" s="37"/>
      <c r="AK35" s="35">
        <v>30</v>
      </c>
      <c r="AL35" s="36">
        <v>51.17</v>
      </c>
      <c r="AM35" s="37"/>
      <c r="AN35" s="36">
        <v>42.23</v>
      </c>
      <c r="AO35" s="37"/>
      <c r="AP35" s="40"/>
      <c r="AQ35" s="35">
        <v>30</v>
      </c>
      <c r="AR35" s="36">
        <v>27.55</v>
      </c>
      <c r="AS35" s="37"/>
      <c r="AT35" s="36">
        <v>22.71</v>
      </c>
      <c r="AU35" s="37"/>
      <c r="AW35" s="40"/>
      <c r="AX35" s="35">
        <v>30</v>
      </c>
      <c r="AY35" s="36">
        <v>18.22</v>
      </c>
      <c r="AZ35" s="37"/>
      <c r="BA35" s="36">
        <v>14.84</v>
      </c>
      <c r="BB35" s="37"/>
    </row>
    <row r="36" spans="1:54" x14ac:dyDescent="0.35">
      <c r="A36" s="35">
        <v>31</v>
      </c>
      <c r="B36" s="36">
        <v>217.76</v>
      </c>
      <c r="C36" s="37"/>
      <c r="D36" s="36">
        <v>178.2</v>
      </c>
      <c r="E36" s="37"/>
      <c r="G36" s="35">
        <v>31</v>
      </c>
      <c r="H36" s="36">
        <v>115.68</v>
      </c>
      <c r="I36" s="37"/>
      <c r="J36" s="36">
        <v>94.77</v>
      </c>
      <c r="K36" s="37"/>
      <c r="L36" s="40"/>
      <c r="M36" s="35">
        <v>31</v>
      </c>
      <c r="N36" s="36">
        <v>49.09</v>
      </c>
      <c r="O36" s="37"/>
      <c r="P36" s="36">
        <v>40.22</v>
      </c>
      <c r="Q36" s="37"/>
      <c r="R36" s="38"/>
      <c r="S36" s="35">
        <v>31</v>
      </c>
      <c r="T36" s="36">
        <v>26.15</v>
      </c>
      <c r="U36" s="37"/>
      <c r="V36" s="36">
        <v>21.39</v>
      </c>
      <c r="W36" s="37"/>
      <c r="X36" s="39"/>
      <c r="Y36" s="35">
        <v>31</v>
      </c>
      <c r="Z36" s="36">
        <v>233.43</v>
      </c>
      <c r="AA36" s="37"/>
      <c r="AB36" s="36">
        <v>192.5</v>
      </c>
      <c r="AC36" s="37"/>
      <c r="AE36" s="35">
        <v>31</v>
      </c>
      <c r="AF36" s="36">
        <v>125.82</v>
      </c>
      <c r="AG36" s="37"/>
      <c r="AH36" s="36">
        <v>103.98</v>
      </c>
      <c r="AI36" s="37"/>
      <c r="AK36" s="35">
        <v>31</v>
      </c>
      <c r="AL36" s="36">
        <v>53.45</v>
      </c>
      <c r="AM36" s="37"/>
      <c r="AN36" s="36">
        <v>44.17</v>
      </c>
      <c r="AO36" s="37"/>
      <c r="AP36" s="40"/>
      <c r="AQ36" s="35">
        <v>31</v>
      </c>
      <c r="AR36" s="36">
        <v>28.81</v>
      </c>
      <c r="AS36" s="37"/>
      <c r="AT36" s="36">
        <v>23.78</v>
      </c>
      <c r="AU36" s="37"/>
      <c r="AW36" s="40"/>
      <c r="AX36" s="35">
        <v>31</v>
      </c>
      <c r="AY36" s="36">
        <v>18.989999999999998</v>
      </c>
      <c r="AZ36" s="37"/>
      <c r="BA36" s="36">
        <v>15.47</v>
      </c>
      <c r="BB36" s="37"/>
    </row>
    <row r="37" spans="1:54" x14ac:dyDescent="0.35">
      <c r="A37" s="35">
        <v>32</v>
      </c>
      <c r="B37" s="36">
        <v>226.54</v>
      </c>
      <c r="C37" s="37"/>
      <c r="D37" s="36">
        <v>185.62</v>
      </c>
      <c r="E37" s="37"/>
      <c r="G37" s="35">
        <v>32</v>
      </c>
      <c r="H37" s="36">
        <v>120.23</v>
      </c>
      <c r="I37" s="37"/>
      <c r="J37" s="36">
        <v>98.7</v>
      </c>
      <c r="K37" s="37"/>
      <c r="L37" s="40"/>
      <c r="M37" s="35">
        <v>32</v>
      </c>
      <c r="N37" s="36">
        <v>51.06</v>
      </c>
      <c r="O37" s="37"/>
      <c r="P37" s="36">
        <v>41.88</v>
      </c>
      <c r="Q37" s="37"/>
      <c r="R37" s="38"/>
      <c r="S37" s="35">
        <v>32</v>
      </c>
      <c r="T37" s="36">
        <v>27.21</v>
      </c>
      <c r="U37" s="37"/>
      <c r="V37" s="36">
        <v>22.28</v>
      </c>
      <c r="W37" s="37"/>
      <c r="X37" s="39"/>
      <c r="Y37" s="35">
        <v>32</v>
      </c>
      <c r="Z37" s="36">
        <v>243.69</v>
      </c>
      <c r="AA37" s="37"/>
      <c r="AB37" s="36">
        <v>201.29</v>
      </c>
      <c r="AC37" s="37"/>
      <c r="AE37" s="35">
        <v>32</v>
      </c>
      <c r="AF37" s="36">
        <v>131.47999999999999</v>
      </c>
      <c r="AG37" s="37"/>
      <c r="AH37" s="36">
        <v>108.81</v>
      </c>
      <c r="AI37" s="37"/>
      <c r="AK37" s="35">
        <v>32</v>
      </c>
      <c r="AL37" s="36">
        <v>55.82</v>
      </c>
      <c r="AM37" s="37"/>
      <c r="AN37" s="36">
        <v>46.21</v>
      </c>
      <c r="AO37" s="37"/>
      <c r="AP37" s="40"/>
      <c r="AQ37" s="35">
        <v>32</v>
      </c>
      <c r="AR37" s="36">
        <v>30.15</v>
      </c>
      <c r="AS37" s="37"/>
      <c r="AT37" s="36">
        <v>24.92</v>
      </c>
      <c r="AU37" s="37"/>
      <c r="AW37" s="40"/>
      <c r="AX37" s="35">
        <v>32</v>
      </c>
      <c r="AY37" s="36">
        <v>19.78</v>
      </c>
      <c r="AZ37" s="37"/>
      <c r="BA37" s="36">
        <v>16.13</v>
      </c>
      <c r="BB37" s="37"/>
    </row>
    <row r="38" spans="1:54" x14ac:dyDescent="0.35">
      <c r="A38" s="35">
        <v>33</v>
      </c>
      <c r="B38" s="36">
        <v>235.65</v>
      </c>
      <c r="C38" s="37"/>
      <c r="D38" s="36">
        <v>193.35</v>
      </c>
      <c r="E38" s="37"/>
      <c r="G38" s="35">
        <v>33</v>
      </c>
      <c r="H38" s="36">
        <v>125.11</v>
      </c>
      <c r="I38" s="37"/>
      <c r="J38" s="36">
        <v>102.8</v>
      </c>
      <c r="K38" s="37"/>
      <c r="L38" s="40"/>
      <c r="M38" s="35">
        <v>33</v>
      </c>
      <c r="N38" s="36">
        <v>53.1</v>
      </c>
      <c r="O38" s="37"/>
      <c r="P38" s="36">
        <v>43.61</v>
      </c>
      <c r="Q38" s="37"/>
      <c r="R38" s="38"/>
      <c r="S38" s="35">
        <v>33</v>
      </c>
      <c r="T38" s="36">
        <v>28.32</v>
      </c>
      <c r="U38" s="37"/>
      <c r="V38" s="36">
        <v>23.22</v>
      </c>
      <c r="W38" s="37"/>
      <c r="X38" s="39"/>
      <c r="Y38" s="35">
        <v>33</v>
      </c>
      <c r="Z38" s="36">
        <v>254.42</v>
      </c>
      <c r="AA38" s="37"/>
      <c r="AB38" s="36">
        <v>210.52</v>
      </c>
      <c r="AC38" s="37"/>
      <c r="AE38" s="35">
        <v>33</v>
      </c>
      <c r="AF38" s="36">
        <v>137.4</v>
      </c>
      <c r="AG38" s="37"/>
      <c r="AH38" s="36">
        <v>113.88</v>
      </c>
      <c r="AI38" s="37"/>
      <c r="AK38" s="35">
        <v>33</v>
      </c>
      <c r="AL38" s="36">
        <v>58.31</v>
      </c>
      <c r="AM38" s="37"/>
      <c r="AN38" s="36">
        <v>48.35</v>
      </c>
      <c r="AO38" s="37"/>
      <c r="AP38" s="40"/>
      <c r="AQ38" s="35">
        <v>33</v>
      </c>
      <c r="AR38" s="36">
        <v>31.54</v>
      </c>
      <c r="AS38" s="37"/>
      <c r="AT38" s="36">
        <v>26.12</v>
      </c>
      <c r="AU38" s="37"/>
      <c r="AW38" s="40"/>
      <c r="AX38" s="35">
        <v>33</v>
      </c>
      <c r="AY38" s="36">
        <v>20.59</v>
      </c>
      <c r="AZ38" s="37"/>
      <c r="BA38" s="36">
        <v>16.82</v>
      </c>
      <c r="BB38" s="37"/>
    </row>
    <row r="39" spans="1:54" x14ac:dyDescent="0.35">
      <c r="A39" s="35">
        <v>34</v>
      </c>
      <c r="B39" s="36">
        <v>245.1</v>
      </c>
      <c r="C39" s="37"/>
      <c r="D39" s="36">
        <v>201.38</v>
      </c>
      <c r="E39" s="37"/>
      <c r="G39" s="35">
        <v>34</v>
      </c>
      <c r="H39" s="36">
        <v>130.15</v>
      </c>
      <c r="I39" s="37"/>
      <c r="J39" s="36">
        <v>107.06</v>
      </c>
      <c r="K39" s="37"/>
      <c r="L39" s="40"/>
      <c r="M39" s="35">
        <v>34</v>
      </c>
      <c r="N39" s="36">
        <v>55.21</v>
      </c>
      <c r="O39" s="37"/>
      <c r="P39" s="36">
        <v>45.4</v>
      </c>
      <c r="Q39" s="37"/>
      <c r="R39" s="38"/>
      <c r="S39" s="35">
        <v>34</v>
      </c>
      <c r="T39" s="36">
        <v>29.47</v>
      </c>
      <c r="U39" s="37"/>
      <c r="V39" s="36">
        <v>24.19</v>
      </c>
      <c r="W39" s="37"/>
      <c r="X39" s="39"/>
      <c r="Y39" s="35">
        <v>34</v>
      </c>
      <c r="Z39" s="36">
        <v>265.64</v>
      </c>
      <c r="AA39" s="37"/>
      <c r="AB39" s="36">
        <v>220.21</v>
      </c>
      <c r="AC39" s="37"/>
      <c r="AE39" s="35">
        <v>34</v>
      </c>
      <c r="AF39" s="36">
        <v>143.59</v>
      </c>
      <c r="AG39" s="37"/>
      <c r="AH39" s="36">
        <v>119.15</v>
      </c>
      <c r="AI39" s="37"/>
      <c r="AK39" s="35">
        <v>34</v>
      </c>
      <c r="AL39" s="36">
        <v>60.91</v>
      </c>
      <c r="AM39" s="37"/>
      <c r="AN39" s="36">
        <v>50.6</v>
      </c>
      <c r="AO39" s="37"/>
      <c r="AP39" s="40"/>
      <c r="AQ39" s="35">
        <v>34</v>
      </c>
      <c r="AR39" s="36">
        <v>33.020000000000003</v>
      </c>
      <c r="AS39" s="37"/>
      <c r="AT39" s="36">
        <v>27.39</v>
      </c>
      <c r="AU39" s="37"/>
      <c r="AW39" s="40"/>
      <c r="AX39" s="35">
        <v>34</v>
      </c>
      <c r="AY39" s="36">
        <v>21.45</v>
      </c>
      <c r="AZ39" s="37"/>
      <c r="BA39" s="36">
        <v>17.55</v>
      </c>
      <c r="BB39" s="37"/>
    </row>
    <row r="40" spans="1:54" x14ac:dyDescent="0.35">
      <c r="A40" s="35">
        <v>35</v>
      </c>
      <c r="B40" s="36">
        <v>254.91</v>
      </c>
      <c r="C40" s="37"/>
      <c r="D40" s="36">
        <v>209.7</v>
      </c>
      <c r="E40" s="37"/>
      <c r="G40" s="35">
        <v>35</v>
      </c>
      <c r="H40" s="36">
        <v>135.38</v>
      </c>
      <c r="I40" s="37"/>
      <c r="J40" s="36">
        <v>111.49</v>
      </c>
      <c r="K40" s="37"/>
      <c r="L40" s="40"/>
      <c r="M40" s="35">
        <v>35</v>
      </c>
      <c r="N40" s="36">
        <v>57.41</v>
      </c>
      <c r="O40" s="37"/>
      <c r="P40" s="36">
        <v>47.27</v>
      </c>
      <c r="Q40" s="37"/>
      <c r="R40" s="38"/>
      <c r="S40" s="35">
        <v>35</v>
      </c>
      <c r="T40" s="36">
        <v>30.67</v>
      </c>
      <c r="U40" s="37"/>
      <c r="V40" s="36">
        <v>25.2</v>
      </c>
      <c r="W40" s="37"/>
      <c r="X40" s="39"/>
      <c r="Y40" s="35">
        <v>35</v>
      </c>
      <c r="Z40" s="36">
        <v>277.38</v>
      </c>
      <c r="AA40" s="37"/>
      <c r="AB40" s="36">
        <v>230.33</v>
      </c>
      <c r="AC40" s="37"/>
      <c r="AE40" s="35">
        <v>35</v>
      </c>
      <c r="AF40" s="36">
        <v>149.97</v>
      </c>
      <c r="AG40" s="37"/>
      <c r="AH40" s="36">
        <v>124.76</v>
      </c>
      <c r="AI40" s="37"/>
      <c r="AK40" s="35">
        <v>35</v>
      </c>
      <c r="AL40" s="36">
        <v>63.62</v>
      </c>
      <c r="AM40" s="37"/>
      <c r="AN40" s="36">
        <v>52.97</v>
      </c>
      <c r="AO40" s="37"/>
      <c r="AP40" s="40"/>
      <c r="AQ40" s="35">
        <v>35</v>
      </c>
      <c r="AR40" s="36">
        <v>34.56</v>
      </c>
      <c r="AS40" s="37"/>
      <c r="AT40" s="36">
        <v>28.73</v>
      </c>
      <c r="AU40" s="37"/>
      <c r="AW40" s="40"/>
      <c r="AX40" s="35">
        <v>35</v>
      </c>
      <c r="AY40" s="36">
        <v>22.36</v>
      </c>
      <c r="AZ40" s="37"/>
      <c r="BA40" s="36">
        <v>18.29</v>
      </c>
      <c r="BB40" s="37"/>
    </row>
    <row r="41" spans="1:54" x14ac:dyDescent="0.35">
      <c r="A41" s="35">
        <v>36</v>
      </c>
      <c r="B41" s="36">
        <v>274.58</v>
      </c>
      <c r="C41" s="37"/>
      <c r="D41" s="36">
        <v>226.55</v>
      </c>
      <c r="E41" s="37"/>
      <c r="G41" s="35">
        <v>36</v>
      </c>
      <c r="H41" s="36">
        <v>145.85</v>
      </c>
      <c r="I41" s="37"/>
      <c r="J41" s="36">
        <v>120.44</v>
      </c>
      <c r="K41" s="37"/>
      <c r="L41" s="40"/>
      <c r="M41" s="35">
        <v>36</v>
      </c>
      <c r="N41" s="36">
        <v>61.83</v>
      </c>
      <c r="O41" s="37"/>
      <c r="P41" s="36">
        <v>51.05</v>
      </c>
      <c r="Q41" s="37"/>
      <c r="R41" s="38"/>
      <c r="S41" s="35">
        <v>36</v>
      </c>
      <c r="T41" s="36">
        <v>33.06</v>
      </c>
      <c r="U41" s="37"/>
      <c r="V41" s="36">
        <v>27.25</v>
      </c>
      <c r="W41" s="37"/>
      <c r="X41" s="39"/>
      <c r="Y41" s="35">
        <v>36</v>
      </c>
      <c r="Z41" s="36">
        <v>301.07</v>
      </c>
      <c r="AA41" s="37"/>
      <c r="AB41" s="36">
        <v>251</v>
      </c>
      <c r="AC41" s="37"/>
      <c r="AE41" s="35">
        <v>36</v>
      </c>
      <c r="AF41" s="36">
        <v>162.99</v>
      </c>
      <c r="AG41" s="37"/>
      <c r="AH41" s="36">
        <v>136.13</v>
      </c>
      <c r="AI41" s="37"/>
      <c r="AK41" s="35">
        <v>36</v>
      </c>
      <c r="AL41" s="36">
        <v>69.12</v>
      </c>
      <c r="AM41" s="37"/>
      <c r="AN41" s="36">
        <v>57.76</v>
      </c>
      <c r="AO41" s="37"/>
      <c r="AP41" s="40"/>
      <c r="AQ41" s="35">
        <v>36</v>
      </c>
      <c r="AR41" s="36">
        <v>37.64</v>
      </c>
      <c r="AS41" s="37"/>
      <c r="AT41" s="36">
        <v>31.41</v>
      </c>
      <c r="AU41" s="37"/>
      <c r="AW41" s="40"/>
      <c r="AX41" s="35">
        <v>36</v>
      </c>
      <c r="AY41" s="36">
        <v>24.13</v>
      </c>
      <c r="AZ41" s="37"/>
      <c r="BA41" s="36">
        <v>19.79</v>
      </c>
      <c r="BB41" s="37"/>
    </row>
    <row r="42" spans="1:54" x14ac:dyDescent="0.35">
      <c r="A42" s="35">
        <v>37</v>
      </c>
      <c r="B42" s="36">
        <v>285.33</v>
      </c>
      <c r="C42" s="37"/>
      <c r="D42" s="36">
        <v>235.81</v>
      </c>
      <c r="E42" s="37"/>
      <c r="G42" s="35">
        <v>37</v>
      </c>
      <c r="H42" s="36">
        <v>151.59</v>
      </c>
      <c r="I42" s="37"/>
      <c r="J42" s="36">
        <v>125.27</v>
      </c>
      <c r="K42" s="37"/>
      <c r="L42" s="40"/>
      <c r="M42" s="35">
        <v>37</v>
      </c>
      <c r="N42" s="36">
        <v>64.22</v>
      </c>
      <c r="O42" s="37"/>
      <c r="P42" s="36">
        <v>53.14</v>
      </c>
      <c r="Q42" s="37"/>
      <c r="R42" s="38"/>
      <c r="S42" s="35">
        <v>37</v>
      </c>
      <c r="T42" s="36">
        <v>34.4</v>
      </c>
      <c r="U42" s="37"/>
      <c r="V42" s="36">
        <v>28.39</v>
      </c>
      <c r="W42" s="37"/>
      <c r="X42" s="39"/>
      <c r="Y42" s="35">
        <v>37</v>
      </c>
      <c r="Z42" s="36">
        <v>314.31</v>
      </c>
      <c r="AA42" s="37"/>
      <c r="AB42" s="36">
        <v>262.61</v>
      </c>
      <c r="AC42" s="37"/>
      <c r="AE42" s="35">
        <v>37</v>
      </c>
      <c r="AF42" s="36">
        <v>170.39</v>
      </c>
      <c r="AG42" s="37"/>
      <c r="AH42" s="36">
        <v>142.59</v>
      </c>
      <c r="AI42" s="37"/>
      <c r="AK42" s="35">
        <v>37</v>
      </c>
      <c r="AL42" s="36">
        <v>72.23</v>
      </c>
      <c r="AM42" s="37"/>
      <c r="AN42" s="36">
        <v>60.49</v>
      </c>
      <c r="AO42" s="37"/>
      <c r="AP42" s="40"/>
      <c r="AQ42" s="35">
        <v>37</v>
      </c>
      <c r="AR42" s="36">
        <v>39.44</v>
      </c>
      <c r="AS42" s="37"/>
      <c r="AT42" s="36">
        <v>32.979999999999997</v>
      </c>
      <c r="AU42" s="37"/>
      <c r="AW42" s="40"/>
      <c r="AX42" s="35">
        <v>37</v>
      </c>
      <c r="AY42" s="36">
        <v>25.13</v>
      </c>
      <c r="AZ42" s="37"/>
      <c r="BA42" s="36">
        <v>20.64</v>
      </c>
      <c r="BB42" s="37"/>
    </row>
    <row r="43" spans="1:54" x14ac:dyDescent="0.35">
      <c r="A43" s="35">
        <v>38</v>
      </c>
      <c r="B43" s="36">
        <v>296.45</v>
      </c>
      <c r="C43" s="37"/>
      <c r="D43" s="36">
        <v>245.38</v>
      </c>
      <c r="E43" s="37"/>
      <c r="G43" s="35">
        <v>38</v>
      </c>
      <c r="H43" s="36">
        <v>157.38</v>
      </c>
      <c r="I43" s="37"/>
      <c r="J43" s="36">
        <v>130.4</v>
      </c>
      <c r="K43" s="37"/>
      <c r="L43" s="40"/>
      <c r="M43" s="35">
        <v>38</v>
      </c>
      <c r="N43" s="36">
        <v>66.73</v>
      </c>
      <c r="O43" s="37"/>
      <c r="P43" s="36">
        <v>55.28</v>
      </c>
      <c r="Q43" s="37"/>
      <c r="R43" s="38"/>
      <c r="S43" s="35">
        <v>38</v>
      </c>
      <c r="T43" s="36">
        <v>35.76</v>
      </c>
      <c r="U43" s="37"/>
      <c r="V43" s="36">
        <v>29.57</v>
      </c>
      <c r="W43" s="37"/>
      <c r="X43" s="39"/>
      <c r="Y43" s="35">
        <v>38</v>
      </c>
      <c r="Z43" s="36">
        <v>328.16</v>
      </c>
      <c r="AA43" s="37"/>
      <c r="AB43" s="36">
        <v>274.77</v>
      </c>
      <c r="AC43" s="37"/>
      <c r="AE43" s="35">
        <v>38</v>
      </c>
      <c r="AF43" s="36">
        <v>178.16</v>
      </c>
      <c r="AG43" s="37"/>
      <c r="AH43" s="36">
        <v>149.26</v>
      </c>
      <c r="AI43" s="37"/>
      <c r="AK43" s="35">
        <v>38</v>
      </c>
      <c r="AL43" s="36">
        <v>75.510000000000005</v>
      </c>
      <c r="AM43" s="37"/>
      <c r="AN43" s="36">
        <v>63.32</v>
      </c>
      <c r="AO43" s="37"/>
      <c r="AP43" s="40"/>
      <c r="AQ43" s="35">
        <v>38</v>
      </c>
      <c r="AR43" s="36">
        <v>41.34</v>
      </c>
      <c r="AS43" s="37"/>
      <c r="AT43" s="36">
        <v>34.630000000000003</v>
      </c>
      <c r="AU43" s="37"/>
      <c r="AW43" s="40"/>
      <c r="AX43" s="35">
        <v>38</v>
      </c>
      <c r="AY43" s="36">
        <v>26.18</v>
      </c>
      <c r="AZ43" s="37"/>
      <c r="BA43" s="36">
        <v>21.51</v>
      </c>
      <c r="BB43" s="37"/>
    </row>
    <row r="44" spans="1:54" x14ac:dyDescent="0.35">
      <c r="A44" s="35">
        <v>39</v>
      </c>
      <c r="B44" s="36">
        <v>307.95</v>
      </c>
      <c r="C44" s="37"/>
      <c r="D44" s="36">
        <v>255.29</v>
      </c>
      <c r="E44" s="37"/>
      <c r="G44" s="35">
        <v>39</v>
      </c>
      <c r="H44" s="36">
        <v>163.57</v>
      </c>
      <c r="I44" s="37"/>
      <c r="J44" s="36">
        <v>135.71</v>
      </c>
      <c r="K44" s="37"/>
      <c r="L44" s="40"/>
      <c r="M44" s="35">
        <v>39</v>
      </c>
      <c r="N44" s="36">
        <v>69.33</v>
      </c>
      <c r="O44" s="37"/>
      <c r="P44" s="36">
        <v>57.51</v>
      </c>
      <c r="Q44" s="37"/>
      <c r="R44" s="38"/>
      <c r="S44" s="35">
        <v>39</v>
      </c>
      <c r="T44" s="36">
        <v>37.21</v>
      </c>
      <c r="U44" s="37"/>
      <c r="V44" s="36">
        <v>30.79</v>
      </c>
      <c r="W44" s="37"/>
      <c r="X44" s="39"/>
      <c r="Y44" s="35">
        <v>39</v>
      </c>
      <c r="Z44" s="36">
        <v>342.64</v>
      </c>
      <c r="AA44" s="37"/>
      <c r="AB44" s="36">
        <v>287.51</v>
      </c>
      <c r="AC44" s="37"/>
      <c r="AE44" s="35">
        <v>39</v>
      </c>
      <c r="AF44" s="36">
        <v>186.09</v>
      </c>
      <c r="AG44" s="37"/>
      <c r="AH44" s="36">
        <v>156.43</v>
      </c>
      <c r="AI44" s="37"/>
      <c r="AK44" s="35">
        <v>39</v>
      </c>
      <c r="AL44" s="36">
        <v>78.930000000000007</v>
      </c>
      <c r="AM44" s="37"/>
      <c r="AN44" s="36">
        <v>66.34</v>
      </c>
      <c r="AO44" s="37"/>
      <c r="AP44" s="40"/>
      <c r="AQ44" s="35">
        <v>39</v>
      </c>
      <c r="AR44" s="36">
        <v>43.36</v>
      </c>
      <c r="AS44" s="37"/>
      <c r="AT44" s="36">
        <v>36.36</v>
      </c>
      <c r="AU44" s="37"/>
      <c r="AW44" s="40"/>
      <c r="AX44" s="35">
        <v>39</v>
      </c>
      <c r="AY44" s="36">
        <v>27.28</v>
      </c>
      <c r="AZ44" s="37"/>
      <c r="BA44" s="36">
        <v>22.43</v>
      </c>
      <c r="BB44" s="37"/>
    </row>
    <row r="45" spans="1:54" x14ac:dyDescent="0.35">
      <c r="A45" s="35">
        <v>40</v>
      </c>
      <c r="B45" s="36">
        <v>319.8</v>
      </c>
      <c r="C45" s="37"/>
      <c r="D45" s="36">
        <v>265.52</v>
      </c>
      <c r="E45" s="37"/>
      <c r="G45" s="35">
        <v>40</v>
      </c>
      <c r="H45" s="36">
        <v>169.93</v>
      </c>
      <c r="I45" s="37"/>
      <c r="J45" s="36">
        <v>141.16999999999999</v>
      </c>
      <c r="K45" s="37"/>
      <c r="L45" s="40"/>
      <c r="M45" s="35">
        <v>40</v>
      </c>
      <c r="N45" s="36">
        <v>72.02</v>
      </c>
      <c r="O45" s="37"/>
      <c r="P45" s="36">
        <v>59.81</v>
      </c>
      <c r="Q45" s="37"/>
      <c r="R45" s="38"/>
      <c r="S45" s="35">
        <v>40</v>
      </c>
      <c r="T45" s="36">
        <v>38.71</v>
      </c>
      <c r="U45" s="37"/>
      <c r="V45" s="36">
        <v>32.06</v>
      </c>
      <c r="W45" s="37"/>
      <c r="X45" s="39"/>
      <c r="Y45" s="35">
        <v>40</v>
      </c>
      <c r="Z45" s="36">
        <v>354.77</v>
      </c>
      <c r="AA45" s="37"/>
      <c r="AB45" s="36">
        <v>298.85000000000002</v>
      </c>
      <c r="AC45" s="37"/>
      <c r="AE45" s="35">
        <v>40</v>
      </c>
      <c r="AF45" s="36">
        <v>193.05</v>
      </c>
      <c r="AG45" s="37"/>
      <c r="AH45" s="36">
        <v>162.86000000000001</v>
      </c>
      <c r="AI45" s="37"/>
      <c r="AK45" s="35">
        <v>40</v>
      </c>
      <c r="AL45" s="36">
        <v>81.83</v>
      </c>
      <c r="AM45" s="37"/>
      <c r="AN45" s="36">
        <v>69.040000000000006</v>
      </c>
      <c r="AO45" s="37"/>
      <c r="AP45" s="40"/>
      <c r="AQ45" s="35">
        <v>40</v>
      </c>
      <c r="AR45" s="36">
        <v>45.11</v>
      </c>
      <c r="AS45" s="37"/>
      <c r="AT45" s="36">
        <v>37.950000000000003</v>
      </c>
      <c r="AU45" s="37"/>
      <c r="AW45" s="40"/>
      <c r="AX45" s="35">
        <v>40</v>
      </c>
      <c r="AY45" s="36">
        <v>28.41</v>
      </c>
      <c r="AZ45" s="37"/>
      <c r="BA45" s="36">
        <v>23.38</v>
      </c>
      <c r="BB45" s="37"/>
    </row>
    <row r="46" spans="1:54" x14ac:dyDescent="0.35">
      <c r="A46" s="35">
        <v>41</v>
      </c>
      <c r="B46" s="36">
        <v>331.99</v>
      </c>
      <c r="C46" s="37"/>
      <c r="D46" s="36">
        <v>276.11</v>
      </c>
      <c r="E46" s="37"/>
      <c r="G46" s="35">
        <v>41</v>
      </c>
      <c r="H46" s="36">
        <v>176.46</v>
      </c>
      <c r="I46" s="37"/>
      <c r="J46" s="36">
        <v>146.83000000000001</v>
      </c>
      <c r="K46" s="37"/>
      <c r="L46" s="40"/>
      <c r="M46" s="35">
        <v>41</v>
      </c>
      <c r="N46" s="36">
        <v>74.78</v>
      </c>
      <c r="O46" s="37"/>
      <c r="P46" s="36">
        <v>62.17</v>
      </c>
      <c r="Q46" s="37"/>
      <c r="R46" s="38"/>
      <c r="S46" s="35">
        <v>41</v>
      </c>
      <c r="T46" s="36">
        <v>40.25</v>
      </c>
      <c r="U46" s="37"/>
      <c r="V46" s="36">
        <v>33.369999999999997</v>
      </c>
      <c r="W46" s="37"/>
      <c r="X46" s="39"/>
      <c r="Y46" s="35">
        <v>41</v>
      </c>
      <c r="Z46" s="36">
        <v>370.35</v>
      </c>
      <c r="AA46" s="37"/>
      <c r="AB46" s="36">
        <v>312.72000000000003</v>
      </c>
      <c r="AC46" s="37"/>
      <c r="AE46" s="35">
        <v>41</v>
      </c>
      <c r="AF46" s="36">
        <v>202.31</v>
      </c>
      <c r="AG46" s="37"/>
      <c r="AH46" s="36">
        <v>170.68</v>
      </c>
      <c r="AI46" s="37"/>
      <c r="AK46" s="35">
        <v>41</v>
      </c>
      <c r="AL46" s="36">
        <v>85.54</v>
      </c>
      <c r="AM46" s="37"/>
      <c r="AN46" s="36">
        <v>72.349999999999994</v>
      </c>
      <c r="AO46" s="37"/>
      <c r="AP46" s="40"/>
      <c r="AQ46" s="35">
        <v>41</v>
      </c>
      <c r="AR46" s="36">
        <v>47.34</v>
      </c>
      <c r="AS46" s="37"/>
      <c r="AT46" s="36">
        <v>39.9</v>
      </c>
      <c r="AU46" s="37"/>
      <c r="AW46" s="40"/>
      <c r="AX46" s="35">
        <v>41</v>
      </c>
      <c r="AY46" s="36">
        <v>29.6</v>
      </c>
      <c r="AZ46" s="37"/>
      <c r="BA46" s="36">
        <v>24.37</v>
      </c>
      <c r="BB46" s="37"/>
    </row>
    <row r="47" spans="1:54" x14ac:dyDescent="0.35">
      <c r="A47" s="35">
        <v>42</v>
      </c>
      <c r="B47" s="36">
        <v>344.5</v>
      </c>
      <c r="C47" s="37"/>
      <c r="D47" s="36">
        <v>287.02999999999997</v>
      </c>
      <c r="E47" s="37"/>
      <c r="G47" s="35">
        <v>42</v>
      </c>
      <c r="H47" s="36">
        <v>183.17</v>
      </c>
      <c r="I47" s="37"/>
      <c r="J47" s="36">
        <v>152.66999999999999</v>
      </c>
      <c r="K47" s="37"/>
      <c r="L47" s="40"/>
      <c r="M47" s="35">
        <v>42</v>
      </c>
      <c r="N47" s="36">
        <v>77.62</v>
      </c>
      <c r="O47" s="37"/>
      <c r="P47" s="36">
        <v>64.64</v>
      </c>
      <c r="Q47" s="37"/>
      <c r="R47" s="38"/>
      <c r="S47" s="35">
        <v>42</v>
      </c>
      <c r="T47" s="36">
        <v>41.85</v>
      </c>
      <c r="U47" s="37"/>
      <c r="V47" s="36">
        <v>34.74</v>
      </c>
      <c r="W47" s="37"/>
      <c r="X47" s="39"/>
      <c r="Y47" s="35">
        <v>42</v>
      </c>
      <c r="Z47" s="36">
        <v>386.67</v>
      </c>
      <c r="AA47" s="37"/>
      <c r="AB47" s="36">
        <v>327.33999999999997</v>
      </c>
      <c r="AC47" s="37"/>
      <c r="AE47" s="35">
        <v>42</v>
      </c>
      <c r="AF47" s="36">
        <v>215.79</v>
      </c>
      <c r="AG47" s="37"/>
      <c r="AH47" s="36">
        <v>178.9</v>
      </c>
      <c r="AI47" s="37"/>
      <c r="AK47" s="35">
        <v>42</v>
      </c>
      <c r="AL47" s="36">
        <v>89.46</v>
      </c>
      <c r="AM47" s="37"/>
      <c r="AN47" s="36">
        <v>75.849999999999994</v>
      </c>
      <c r="AO47" s="37"/>
      <c r="AP47" s="40"/>
      <c r="AQ47" s="35">
        <v>42</v>
      </c>
      <c r="AR47" s="36">
        <v>49.71</v>
      </c>
      <c r="AS47" s="37"/>
      <c r="AT47" s="36">
        <v>41.98</v>
      </c>
      <c r="AU47" s="37"/>
      <c r="AW47" s="40"/>
      <c r="AX47" s="35">
        <v>42</v>
      </c>
      <c r="AY47" s="36">
        <v>30.82</v>
      </c>
      <c r="AZ47" s="37"/>
      <c r="BA47" s="36">
        <v>25.4</v>
      </c>
      <c r="BB47" s="37"/>
    </row>
    <row r="48" spans="1:54" x14ac:dyDescent="0.35">
      <c r="A48" s="35">
        <v>43</v>
      </c>
      <c r="B48" s="36">
        <v>357.34</v>
      </c>
      <c r="C48" s="37"/>
      <c r="D48" s="36">
        <v>298.3</v>
      </c>
      <c r="E48" s="37"/>
      <c r="G48" s="35">
        <v>43</v>
      </c>
      <c r="H48" s="36">
        <v>190.04</v>
      </c>
      <c r="I48" s="37"/>
      <c r="J48" s="36">
        <v>158.57</v>
      </c>
      <c r="K48" s="37"/>
      <c r="L48" s="40"/>
      <c r="M48" s="35">
        <v>43</v>
      </c>
      <c r="N48" s="36">
        <v>80.53</v>
      </c>
      <c r="O48" s="37"/>
      <c r="P48" s="36">
        <v>67.180000000000007</v>
      </c>
      <c r="Q48" s="37"/>
      <c r="R48" s="38"/>
      <c r="S48" s="35">
        <v>43</v>
      </c>
      <c r="T48" s="36">
        <v>43.49</v>
      </c>
      <c r="U48" s="37"/>
      <c r="V48" s="36">
        <v>36.15</v>
      </c>
      <c r="W48" s="37"/>
      <c r="X48" s="39"/>
      <c r="Y48" s="35">
        <v>43</v>
      </c>
      <c r="Z48" s="36">
        <v>403.79</v>
      </c>
      <c r="AA48" s="37"/>
      <c r="AB48" s="36">
        <v>342.79</v>
      </c>
      <c r="AC48" s="37"/>
      <c r="AE48" s="35">
        <v>43</v>
      </c>
      <c r="AF48" s="36">
        <v>230.34</v>
      </c>
      <c r="AG48" s="37"/>
      <c r="AH48" s="36">
        <v>187.7</v>
      </c>
      <c r="AI48" s="37"/>
      <c r="AK48" s="35">
        <v>43</v>
      </c>
      <c r="AL48" s="36">
        <v>93.57</v>
      </c>
      <c r="AM48" s="37"/>
      <c r="AN48" s="36">
        <v>79.56</v>
      </c>
      <c r="AO48" s="37"/>
      <c r="AP48" s="40"/>
      <c r="AQ48" s="35">
        <v>43</v>
      </c>
      <c r="AR48" s="36">
        <v>52.24</v>
      </c>
      <c r="AS48" s="37"/>
      <c r="AT48" s="36">
        <v>44.19</v>
      </c>
      <c r="AU48" s="37"/>
      <c r="AW48" s="40"/>
      <c r="AX48" s="35">
        <v>43</v>
      </c>
      <c r="AY48" s="36">
        <v>32.090000000000003</v>
      </c>
      <c r="AZ48" s="37"/>
      <c r="BA48" s="36">
        <v>26.47</v>
      </c>
      <c r="BB48" s="37"/>
    </row>
    <row r="49" spans="1:54" x14ac:dyDescent="0.35">
      <c r="A49" s="35">
        <v>44</v>
      </c>
      <c r="B49" s="36">
        <v>370.49</v>
      </c>
      <c r="C49" s="37"/>
      <c r="D49" s="36">
        <v>309.92</v>
      </c>
      <c r="E49" s="37"/>
      <c r="G49" s="35">
        <v>44</v>
      </c>
      <c r="H49" s="36">
        <v>196.95</v>
      </c>
      <c r="I49" s="37"/>
      <c r="J49" s="36">
        <v>164.85</v>
      </c>
      <c r="K49" s="37"/>
      <c r="L49" s="40"/>
      <c r="M49" s="35">
        <v>44</v>
      </c>
      <c r="N49" s="36">
        <v>83.53</v>
      </c>
      <c r="O49" s="37"/>
      <c r="P49" s="36">
        <v>69.819999999999993</v>
      </c>
      <c r="Q49" s="37"/>
      <c r="R49" s="38"/>
      <c r="S49" s="35">
        <v>44</v>
      </c>
      <c r="T49" s="36">
        <v>45.2</v>
      </c>
      <c r="U49" s="37"/>
      <c r="V49" s="36">
        <v>37.619999999999997</v>
      </c>
      <c r="W49" s="37"/>
      <c r="X49" s="39"/>
      <c r="Y49" s="35">
        <v>44</v>
      </c>
      <c r="Z49" s="36">
        <v>421.91</v>
      </c>
      <c r="AA49" s="37"/>
      <c r="AB49" s="36">
        <v>359.17</v>
      </c>
      <c r="AC49" s="37"/>
      <c r="AE49" s="35">
        <v>44</v>
      </c>
      <c r="AF49" s="36">
        <v>246.17</v>
      </c>
      <c r="AG49" s="37"/>
      <c r="AH49" s="36">
        <v>200.09</v>
      </c>
      <c r="AI49" s="37"/>
      <c r="AK49" s="35">
        <v>44</v>
      </c>
      <c r="AL49" s="36">
        <v>97.92</v>
      </c>
      <c r="AM49" s="37"/>
      <c r="AN49" s="36">
        <v>83.5</v>
      </c>
      <c r="AO49" s="37"/>
      <c r="AP49" s="40"/>
      <c r="AQ49" s="35">
        <v>44</v>
      </c>
      <c r="AR49" s="36">
        <v>54.97</v>
      </c>
      <c r="AS49" s="37"/>
      <c r="AT49" s="36">
        <v>46.58</v>
      </c>
      <c r="AU49" s="37"/>
      <c r="AW49" s="40"/>
      <c r="AX49" s="35">
        <v>44</v>
      </c>
      <c r="AY49" s="36">
        <v>33.42</v>
      </c>
      <c r="AZ49" s="37"/>
      <c r="BA49" s="36">
        <v>27.58</v>
      </c>
      <c r="BB49" s="37"/>
    </row>
    <row r="50" spans="1:54" x14ac:dyDescent="0.35">
      <c r="A50" s="35">
        <v>45</v>
      </c>
      <c r="B50" s="36">
        <v>384.02</v>
      </c>
      <c r="C50" s="37"/>
      <c r="D50" s="36">
        <v>321.88</v>
      </c>
      <c r="E50" s="37"/>
      <c r="G50" s="35">
        <v>45</v>
      </c>
      <c r="H50" s="36">
        <v>204.31</v>
      </c>
      <c r="I50" s="37"/>
      <c r="J50" s="36">
        <v>171.26</v>
      </c>
      <c r="K50" s="37"/>
      <c r="L50" s="40"/>
      <c r="M50" s="35">
        <v>45</v>
      </c>
      <c r="N50" s="36">
        <v>86.62</v>
      </c>
      <c r="O50" s="37"/>
      <c r="P50" s="36">
        <v>72.53</v>
      </c>
      <c r="Q50" s="37"/>
      <c r="R50" s="38"/>
      <c r="S50" s="35">
        <v>45</v>
      </c>
      <c r="T50" s="36">
        <v>46.97</v>
      </c>
      <c r="U50" s="37"/>
      <c r="V50" s="36">
        <v>39.130000000000003</v>
      </c>
      <c r="W50" s="37"/>
      <c r="X50" s="39"/>
      <c r="Y50" s="35">
        <v>45</v>
      </c>
      <c r="Z50" s="36">
        <v>428.19</v>
      </c>
      <c r="AA50" s="37"/>
      <c r="AB50" s="36">
        <v>367.36</v>
      </c>
      <c r="AC50" s="37"/>
      <c r="AE50" s="35">
        <v>45</v>
      </c>
      <c r="AF50" s="36">
        <v>254.98</v>
      </c>
      <c r="AG50" s="37"/>
      <c r="AH50" s="36">
        <v>208.91</v>
      </c>
      <c r="AI50" s="37"/>
      <c r="AK50" s="35">
        <v>45</v>
      </c>
      <c r="AL50" s="36">
        <v>99.62</v>
      </c>
      <c r="AM50" s="37"/>
      <c r="AN50" s="36">
        <v>85.58</v>
      </c>
      <c r="AO50" s="37"/>
      <c r="AP50" s="40"/>
      <c r="AQ50" s="35">
        <v>45</v>
      </c>
      <c r="AR50" s="36">
        <v>56.19</v>
      </c>
      <c r="AS50" s="37"/>
      <c r="AT50" s="36">
        <v>47.95</v>
      </c>
      <c r="AU50" s="37"/>
      <c r="AW50" s="40"/>
      <c r="AX50" s="35">
        <v>45</v>
      </c>
      <c r="AY50" s="36">
        <v>34.79</v>
      </c>
      <c r="AZ50" s="37"/>
      <c r="BA50" s="36">
        <v>28.74</v>
      </c>
      <c r="BB50" s="37"/>
    </row>
    <row r="51" spans="1:54" x14ac:dyDescent="0.35">
      <c r="A51" s="35">
        <v>46</v>
      </c>
      <c r="B51" s="36">
        <v>397.85</v>
      </c>
      <c r="C51" s="37"/>
      <c r="D51" s="36">
        <v>334.21</v>
      </c>
      <c r="E51" s="37"/>
      <c r="G51" s="35">
        <v>46</v>
      </c>
      <c r="H51" s="36">
        <v>211.79</v>
      </c>
      <c r="I51" s="37"/>
      <c r="J51" s="36">
        <v>177.89</v>
      </c>
      <c r="K51" s="37"/>
      <c r="L51" s="40"/>
      <c r="M51" s="35">
        <v>46</v>
      </c>
      <c r="N51" s="36">
        <v>89.8</v>
      </c>
      <c r="O51" s="37"/>
      <c r="P51" s="36">
        <v>75.33</v>
      </c>
      <c r="Q51" s="37"/>
      <c r="R51" s="38"/>
      <c r="S51" s="35">
        <v>46</v>
      </c>
      <c r="T51" s="36">
        <v>48.8</v>
      </c>
      <c r="U51" s="37"/>
      <c r="V51" s="36">
        <v>40.71</v>
      </c>
      <c r="W51" s="37"/>
      <c r="X51" s="39"/>
      <c r="Y51" s="35">
        <v>46</v>
      </c>
      <c r="Z51" s="36">
        <v>447.26</v>
      </c>
      <c r="AA51" s="37"/>
      <c r="AB51" s="36">
        <v>384.97</v>
      </c>
      <c r="AC51" s="37"/>
      <c r="AE51" s="35">
        <v>46</v>
      </c>
      <c r="AF51" s="36">
        <v>272.85000000000002</v>
      </c>
      <c r="AG51" s="37"/>
      <c r="AH51" s="36">
        <v>224.56</v>
      </c>
      <c r="AI51" s="37"/>
      <c r="AK51" s="35">
        <v>46</v>
      </c>
      <c r="AL51" s="36">
        <v>104.32</v>
      </c>
      <c r="AM51" s="37"/>
      <c r="AN51" s="36">
        <v>89.88</v>
      </c>
      <c r="AO51" s="37"/>
      <c r="AP51" s="40"/>
      <c r="AQ51" s="35">
        <v>46</v>
      </c>
      <c r="AR51" s="36">
        <v>59.16</v>
      </c>
      <c r="AS51" s="37"/>
      <c r="AT51" s="36">
        <v>50.61</v>
      </c>
      <c r="AU51" s="37"/>
      <c r="AW51" s="40"/>
      <c r="AX51" s="35">
        <v>46</v>
      </c>
      <c r="AY51" s="36">
        <v>36.21</v>
      </c>
      <c r="AZ51" s="37"/>
      <c r="BA51" s="36">
        <v>29.93</v>
      </c>
      <c r="BB51" s="37"/>
    </row>
    <row r="52" spans="1:54" x14ac:dyDescent="0.35">
      <c r="A52" s="35">
        <v>47</v>
      </c>
      <c r="B52" s="36">
        <v>411.95</v>
      </c>
      <c r="C52" s="37"/>
      <c r="D52" s="36">
        <v>346.88</v>
      </c>
      <c r="E52" s="37"/>
      <c r="G52" s="35">
        <v>47</v>
      </c>
      <c r="H52" s="36">
        <v>219.84</v>
      </c>
      <c r="I52" s="37"/>
      <c r="J52" s="36">
        <v>184.68</v>
      </c>
      <c r="K52" s="37"/>
      <c r="L52" s="40"/>
      <c r="M52" s="35">
        <v>47</v>
      </c>
      <c r="N52" s="36">
        <v>93.05</v>
      </c>
      <c r="O52" s="37"/>
      <c r="P52" s="36">
        <v>78.209999999999994</v>
      </c>
      <c r="Q52" s="37"/>
      <c r="R52" s="38"/>
      <c r="S52" s="35">
        <v>47</v>
      </c>
      <c r="T52" s="36">
        <v>50.68</v>
      </c>
      <c r="U52" s="37"/>
      <c r="V52" s="36">
        <v>42.33</v>
      </c>
      <c r="W52" s="37"/>
      <c r="X52" s="39"/>
      <c r="Y52" s="35">
        <v>47</v>
      </c>
      <c r="Z52" s="36">
        <v>460.07</v>
      </c>
      <c r="AA52" s="37"/>
      <c r="AB52" s="36">
        <v>397.02</v>
      </c>
      <c r="AC52" s="37"/>
      <c r="AE52" s="35">
        <v>47</v>
      </c>
      <c r="AF52" s="36">
        <v>283.27</v>
      </c>
      <c r="AG52" s="37"/>
      <c r="AH52" s="36">
        <v>233.86</v>
      </c>
      <c r="AI52" s="37"/>
      <c r="AK52" s="35">
        <v>47</v>
      </c>
      <c r="AL52" s="36">
        <v>107.32</v>
      </c>
      <c r="AM52" s="37"/>
      <c r="AN52" s="36">
        <v>92.61</v>
      </c>
      <c r="AO52" s="37"/>
      <c r="AP52" s="40"/>
      <c r="AQ52" s="35">
        <v>47</v>
      </c>
      <c r="AR52" s="36">
        <v>60.97</v>
      </c>
      <c r="AS52" s="37"/>
      <c r="AT52" s="36">
        <v>52.25</v>
      </c>
      <c r="AU52" s="37"/>
      <c r="AW52" s="40"/>
      <c r="AX52" s="35">
        <v>47</v>
      </c>
      <c r="AY52" s="36">
        <v>37.69</v>
      </c>
      <c r="AZ52" s="37"/>
      <c r="BA52" s="36">
        <v>31.18</v>
      </c>
      <c r="BB52" s="37"/>
    </row>
    <row r="53" spans="1:54" x14ac:dyDescent="0.35">
      <c r="A53" s="35">
        <v>48</v>
      </c>
      <c r="B53" s="36">
        <v>426.32</v>
      </c>
      <c r="C53" s="37"/>
      <c r="D53" s="36">
        <v>359.91</v>
      </c>
      <c r="E53" s="37"/>
      <c r="G53" s="35">
        <v>48</v>
      </c>
      <c r="H53" s="36">
        <v>230.34</v>
      </c>
      <c r="I53" s="37"/>
      <c r="J53" s="36">
        <v>191.69</v>
      </c>
      <c r="K53" s="37"/>
      <c r="L53" s="40"/>
      <c r="M53" s="35">
        <v>48</v>
      </c>
      <c r="N53" s="36">
        <v>96.38</v>
      </c>
      <c r="O53" s="37"/>
      <c r="P53" s="36">
        <v>81.180000000000007</v>
      </c>
      <c r="Q53" s="37"/>
      <c r="R53" s="38"/>
      <c r="S53" s="35">
        <v>48</v>
      </c>
      <c r="T53" s="36">
        <v>52.62</v>
      </c>
      <c r="U53" s="37"/>
      <c r="V53" s="36">
        <v>44.01</v>
      </c>
      <c r="W53" s="37"/>
      <c r="X53" s="39"/>
      <c r="Y53" s="35">
        <v>48</v>
      </c>
      <c r="Z53" s="36">
        <v>472.9</v>
      </c>
      <c r="AA53" s="37"/>
      <c r="AB53" s="36">
        <v>409.3</v>
      </c>
      <c r="AC53" s="37"/>
      <c r="AE53" s="35">
        <v>48</v>
      </c>
      <c r="AF53" s="36">
        <v>293.87</v>
      </c>
      <c r="AG53" s="37"/>
      <c r="AH53" s="36">
        <v>243.43</v>
      </c>
      <c r="AI53" s="37"/>
      <c r="AK53" s="35">
        <v>48</v>
      </c>
      <c r="AL53" s="36">
        <v>110.35</v>
      </c>
      <c r="AM53" s="37"/>
      <c r="AN53" s="36">
        <v>95.46</v>
      </c>
      <c r="AO53" s="37"/>
      <c r="AP53" s="40"/>
      <c r="AQ53" s="35">
        <v>48</v>
      </c>
      <c r="AR53" s="36">
        <v>62.82</v>
      </c>
      <c r="AS53" s="37"/>
      <c r="AT53" s="36">
        <v>53.91</v>
      </c>
      <c r="AU53" s="37"/>
      <c r="AW53" s="40"/>
      <c r="AX53" s="35">
        <v>48</v>
      </c>
      <c r="AY53" s="36">
        <v>39.21</v>
      </c>
      <c r="AZ53" s="37"/>
      <c r="BA53" s="36">
        <v>32.47</v>
      </c>
      <c r="BB53" s="37"/>
    </row>
    <row r="54" spans="1:54" x14ac:dyDescent="0.35">
      <c r="A54" s="35">
        <v>49</v>
      </c>
      <c r="B54" s="36">
        <v>440.93</v>
      </c>
      <c r="C54" s="37"/>
      <c r="D54" s="36">
        <v>373.23</v>
      </c>
      <c r="E54" s="37"/>
      <c r="G54" s="35">
        <v>49</v>
      </c>
      <c r="H54" s="36">
        <v>241.18</v>
      </c>
      <c r="I54" s="37"/>
      <c r="J54" s="36">
        <v>198.74</v>
      </c>
      <c r="K54" s="37"/>
      <c r="L54" s="40"/>
      <c r="M54" s="35">
        <v>49</v>
      </c>
      <c r="N54" s="36">
        <v>99.74</v>
      </c>
      <c r="O54" s="37"/>
      <c r="P54" s="36">
        <v>84.22</v>
      </c>
      <c r="Q54" s="37"/>
      <c r="R54" s="38"/>
      <c r="S54" s="35">
        <v>49</v>
      </c>
      <c r="T54" s="36">
        <v>54.61</v>
      </c>
      <c r="U54" s="37"/>
      <c r="V54" s="36">
        <v>45.75</v>
      </c>
      <c r="W54" s="37"/>
      <c r="X54" s="39"/>
      <c r="Y54" s="35">
        <v>49</v>
      </c>
      <c r="Z54" s="36">
        <v>485.73</v>
      </c>
      <c r="AA54" s="37"/>
      <c r="AB54" s="36">
        <v>421.7</v>
      </c>
      <c r="AC54" s="37"/>
      <c r="AE54" s="35">
        <v>49</v>
      </c>
      <c r="AF54" s="36">
        <v>304.54000000000002</v>
      </c>
      <c r="AG54" s="37"/>
      <c r="AH54" s="36">
        <v>253.2</v>
      </c>
      <c r="AI54" s="37"/>
      <c r="AK54" s="35">
        <v>49</v>
      </c>
      <c r="AL54" s="36">
        <v>113.31</v>
      </c>
      <c r="AM54" s="37"/>
      <c r="AN54" s="36">
        <v>98.34</v>
      </c>
      <c r="AO54" s="37"/>
      <c r="AP54" s="40"/>
      <c r="AQ54" s="35">
        <v>49</v>
      </c>
      <c r="AR54" s="36">
        <v>64.650000000000006</v>
      </c>
      <c r="AS54" s="37"/>
      <c r="AT54" s="36">
        <v>55.62</v>
      </c>
      <c r="AU54" s="37"/>
      <c r="AW54" s="40"/>
      <c r="AX54" s="35">
        <v>49</v>
      </c>
      <c r="AY54" s="36">
        <v>40.78</v>
      </c>
      <c r="AZ54" s="37"/>
      <c r="BA54" s="36">
        <v>33.81</v>
      </c>
      <c r="BB54" s="37"/>
    </row>
    <row r="55" spans="1:54" x14ac:dyDescent="0.35">
      <c r="A55" s="35">
        <v>50</v>
      </c>
      <c r="B55" s="36">
        <v>455.77</v>
      </c>
      <c r="C55" s="37"/>
      <c r="D55" s="36">
        <v>386.94</v>
      </c>
      <c r="E55" s="37"/>
      <c r="G55" s="35">
        <v>50</v>
      </c>
      <c r="H55" s="36">
        <v>252.34</v>
      </c>
      <c r="I55" s="37"/>
      <c r="J55" s="36">
        <v>206.2</v>
      </c>
      <c r="K55" s="37"/>
      <c r="L55" s="40"/>
      <c r="M55" s="35">
        <v>50</v>
      </c>
      <c r="N55" s="36">
        <v>103.23</v>
      </c>
      <c r="O55" s="37"/>
      <c r="P55" s="36">
        <v>87.36</v>
      </c>
      <c r="Q55" s="37"/>
      <c r="R55" s="38"/>
      <c r="S55" s="35">
        <v>50</v>
      </c>
      <c r="T55" s="36">
        <v>56.64</v>
      </c>
      <c r="U55" s="37"/>
      <c r="V55" s="36">
        <v>47.55</v>
      </c>
      <c r="W55" s="37"/>
      <c r="X55" s="39"/>
      <c r="Y55" s="35">
        <v>50</v>
      </c>
      <c r="Z55" s="36">
        <v>498.54</v>
      </c>
      <c r="AA55" s="37"/>
      <c r="AB55" s="36">
        <v>434.2</v>
      </c>
      <c r="AC55" s="37"/>
      <c r="AE55" s="35">
        <v>50</v>
      </c>
      <c r="AF55" s="36">
        <v>315.31</v>
      </c>
      <c r="AG55" s="37"/>
      <c r="AH55" s="36">
        <v>263.18</v>
      </c>
      <c r="AI55" s="37"/>
      <c r="AJ55" s="41">
        <v>92760000</v>
      </c>
      <c r="AK55" s="35">
        <v>50</v>
      </c>
      <c r="AL55" s="36">
        <v>116.36</v>
      </c>
      <c r="AM55" s="37"/>
      <c r="AN55" s="36">
        <v>101.25</v>
      </c>
      <c r="AO55" s="37"/>
      <c r="AP55" s="40"/>
      <c r="AQ55" s="35">
        <v>50</v>
      </c>
      <c r="AR55" s="36">
        <v>66.510000000000005</v>
      </c>
      <c r="AS55" s="37"/>
      <c r="AT55" s="36">
        <v>57.36</v>
      </c>
      <c r="AU55" s="37"/>
      <c r="AW55" s="40"/>
      <c r="AX55" s="35">
        <v>50</v>
      </c>
      <c r="AY55" s="36">
        <v>42.4</v>
      </c>
      <c r="AZ55" s="37"/>
      <c r="BA55" s="36">
        <v>35.18</v>
      </c>
      <c r="BB55" s="37"/>
    </row>
    <row r="56" spans="1:54" x14ac:dyDescent="0.35">
      <c r="A56" s="35">
        <v>51</v>
      </c>
      <c r="B56" s="36">
        <v>470.81</v>
      </c>
      <c r="C56" s="37"/>
      <c r="D56" s="36">
        <v>400.96</v>
      </c>
      <c r="E56" s="37"/>
      <c r="G56" s="35">
        <v>51</v>
      </c>
      <c r="H56" s="36">
        <v>263.87</v>
      </c>
      <c r="I56" s="37"/>
      <c r="J56" s="36">
        <v>213.77</v>
      </c>
      <c r="K56" s="37"/>
      <c r="L56" s="40"/>
      <c r="M56" s="35">
        <v>51</v>
      </c>
      <c r="N56" s="36">
        <v>106.78</v>
      </c>
      <c r="O56" s="37"/>
      <c r="P56" s="36">
        <v>90.58</v>
      </c>
      <c r="Q56" s="37"/>
      <c r="R56" s="38"/>
      <c r="S56" s="35">
        <v>51</v>
      </c>
      <c r="T56" s="36">
        <v>58.75</v>
      </c>
      <c r="U56" s="37"/>
      <c r="V56" s="36">
        <v>49.41</v>
      </c>
      <c r="W56" s="37"/>
      <c r="X56" s="39"/>
      <c r="Y56" s="35">
        <v>51</v>
      </c>
      <c r="Z56" s="36">
        <v>511.28</v>
      </c>
      <c r="AA56" s="37"/>
      <c r="AB56" s="36">
        <v>446.76</v>
      </c>
      <c r="AC56" s="37"/>
      <c r="AE56" s="35">
        <v>51</v>
      </c>
      <c r="AF56" s="36">
        <v>326.14999999999998</v>
      </c>
      <c r="AG56" s="37"/>
      <c r="AH56" s="36">
        <v>273.31</v>
      </c>
      <c r="AI56" s="37"/>
      <c r="AK56" s="35">
        <v>51</v>
      </c>
      <c r="AL56" s="36">
        <v>119.4</v>
      </c>
      <c r="AM56" s="37"/>
      <c r="AN56" s="36">
        <v>104.18</v>
      </c>
      <c r="AO56" s="37"/>
      <c r="AP56" s="40"/>
      <c r="AQ56" s="35">
        <v>51</v>
      </c>
      <c r="AR56" s="36">
        <v>68.349999999999994</v>
      </c>
      <c r="AS56" s="37"/>
      <c r="AT56" s="36">
        <v>59.11</v>
      </c>
      <c r="AU56" s="37"/>
      <c r="AW56" s="40"/>
      <c r="AX56" s="35">
        <v>51</v>
      </c>
      <c r="AY56" s="36">
        <v>44.05</v>
      </c>
      <c r="AZ56" s="37"/>
      <c r="BA56" s="36">
        <v>36.61</v>
      </c>
      <c r="BB56" s="37"/>
    </row>
    <row r="57" spans="1:54" x14ac:dyDescent="0.35">
      <c r="A57" s="35">
        <v>52</v>
      </c>
      <c r="B57" s="36">
        <v>485.97</v>
      </c>
      <c r="C57" s="37"/>
      <c r="D57" s="36">
        <v>415.26</v>
      </c>
      <c r="E57" s="37"/>
      <c r="G57" s="35">
        <v>52</v>
      </c>
      <c r="H57" s="36">
        <v>275.63</v>
      </c>
      <c r="I57" s="37"/>
      <c r="J57" s="36">
        <v>223.03</v>
      </c>
      <c r="K57" s="37"/>
      <c r="L57" s="40"/>
      <c r="M57" s="35">
        <v>52</v>
      </c>
      <c r="N57" s="36">
        <v>110.36</v>
      </c>
      <c r="O57" s="37"/>
      <c r="P57" s="36">
        <v>93.88</v>
      </c>
      <c r="Q57" s="37"/>
      <c r="R57" s="38"/>
      <c r="S57" s="35">
        <v>52</v>
      </c>
      <c r="T57" s="36">
        <v>60.87</v>
      </c>
      <c r="U57" s="37"/>
      <c r="V57" s="36">
        <v>51.32</v>
      </c>
      <c r="W57" s="37"/>
      <c r="X57" s="39"/>
      <c r="Y57" s="35">
        <v>52</v>
      </c>
      <c r="Z57" s="36">
        <v>523.75</v>
      </c>
      <c r="AA57" s="37"/>
      <c r="AB57" s="36">
        <v>459.3</v>
      </c>
      <c r="AC57" s="37"/>
      <c r="AE57" s="35">
        <v>52</v>
      </c>
      <c r="AF57" s="36">
        <v>336.91</v>
      </c>
      <c r="AG57" s="37"/>
      <c r="AH57" s="36">
        <v>283.57</v>
      </c>
      <c r="AI57" s="37"/>
      <c r="AK57" s="35">
        <v>52</v>
      </c>
      <c r="AL57" s="36">
        <v>122.38</v>
      </c>
      <c r="AM57" s="37"/>
      <c r="AN57" s="36">
        <v>107.11</v>
      </c>
      <c r="AO57" s="37"/>
      <c r="AP57" s="40"/>
      <c r="AQ57" s="35">
        <v>52</v>
      </c>
      <c r="AR57" s="36">
        <v>70.180000000000007</v>
      </c>
      <c r="AS57" s="37"/>
      <c r="AT57" s="36">
        <v>60.87</v>
      </c>
      <c r="AU57" s="37"/>
      <c r="AW57" s="40"/>
      <c r="AX57" s="35">
        <v>52</v>
      </c>
      <c r="AY57" s="36">
        <v>45.74</v>
      </c>
      <c r="AZ57" s="37"/>
      <c r="BA57" s="36">
        <v>38.08</v>
      </c>
      <c r="BB57" s="37"/>
    </row>
    <row r="58" spans="1:54" x14ac:dyDescent="0.35">
      <c r="A58" s="35">
        <v>53</v>
      </c>
      <c r="B58" s="36">
        <v>501.29</v>
      </c>
      <c r="C58" s="37"/>
      <c r="D58" s="36">
        <v>429.85</v>
      </c>
      <c r="E58" s="37"/>
      <c r="G58" s="35">
        <v>53</v>
      </c>
      <c r="H58" s="36">
        <v>287.69</v>
      </c>
      <c r="I58" s="37"/>
      <c r="J58" s="36">
        <v>233.77</v>
      </c>
      <c r="K58" s="37"/>
      <c r="L58" s="40"/>
      <c r="M58" s="35">
        <v>53</v>
      </c>
      <c r="N58" s="36">
        <v>113.98</v>
      </c>
      <c r="O58" s="37"/>
      <c r="P58" s="36">
        <v>97.22</v>
      </c>
      <c r="Q58" s="37"/>
      <c r="R58" s="38"/>
      <c r="S58" s="35">
        <v>53</v>
      </c>
      <c r="T58" s="36">
        <v>63.04</v>
      </c>
      <c r="U58" s="37"/>
      <c r="V58" s="36">
        <v>53.27</v>
      </c>
      <c r="W58" s="37"/>
      <c r="X58" s="39"/>
      <c r="Y58" s="35">
        <v>53</v>
      </c>
      <c r="Z58" s="36">
        <v>536.24</v>
      </c>
      <c r="AA58" s="37"/>
      <c r="AB58" s="36">
        <v>471.82</v>
      </c>
      <c r="AC58" s="37"/>
      <c r="AE58" s="35">
        <v>53</v>
      </c>
      <c r="AF58" s="36">
        <v>347.79</v>
      </c>
      <c r="AG58" s="37"/>
      <c r="AH58" s="36">
        <v>293.99</v>
      </c>
      <c r="AI58" s="37"/>
      <c r="AK58" s="35">
        <v>53</v>
      </c>
      <c r="AL58" s="36">
        <v>125.36</v>
      </c>
      <c r="AM58" s="37"/>
      <c r="AN58" s="36">
        <v>110.06</v>
      </c>
      <c r="AO58" s="37"/>
      <c r="AP58" s="40"/>
      <c r="AQ58" s="35">
        <v>53</v>
      </c>
      <c r="AR58" s="36">
        <v>72.03</v>
      </c>
      <c r="AS58" s="37"/>
      <c r="AT58" s="36">
        <v>62.63</v>
      </c>
      <c r="AU58" s="37"/>
      <c r="AW58" s="40"/>
      <c r="AX58" s="35">
        <v>53</v>
      </c>
      <c r="AY58" s="36">
        <v>47.47</v>
      </c>
      <c r="AZ58" s="37"/>
      <c r="BA58" s="36">
        <v>39.61</v>
      </c>
      <c r="BB58" s="37"/>
    </row>
    <row r="59" spans="1:54" x14ac:dyDescent="0.35">
      <c r="A59" s="35">
        <v>54</v>
      </c>
      <c r="B59" s="36">
        <v>516.67999999999995</v>
      </c>
      <c r="C59" s="37"/>
      <c r="D59" s="36">
        <v>444.69</v>
      </c>
      <c r="E59" s="37"/>
      <c r="G59" s="35">
        <v>54</v>
      </c>
      <c r="H59" s="36">
        <v>300.01</v>
      </c>
      <c r="I59" s="37"/>
      <c r="J59" s="36">
        <v>244.86</v>
      </c>
      <c r="K59" s="37"/>
      <c r="L59" s="40"/>
      <c r="M59" s="35">
        <v>54</v>
      </c>
      <c r="N59" s="36">
        <v>117.63</v>
      </c>
      <c r="O59" s="37"/>
      <c r="P59" s="36">
        <v>100.69</v>
      </c>
      <c r="Q59" s="37"/>
      <c r="R59" s="38"/>
      <c r="S59" s="35">
        <v>54</v>
      </c>
      <c r="T59" s="36">
        <v>65.23</v>
      </c>
      <c r="U59" s="37"/>
      <c r="V59" s="36">
        <v>55.28</v>
      </c>
      <c r="W59" s="37"/>
      <c r="X59" s="39"/>
      <c r="Y59" s="35">
        <v>54</v>
      </c>
      <c r="Z59" s="36">
        <v>548.67999999999995</v>
      </c>
      <c r="AA59" s="37"/>
      <c r="AB59" s="36">
        <v>484.36</v>
      </c>
      <c r="AC59" s="37"/>
      <c r="AE59" s="35">
        <v>54</v>
      </c>
      <c r="AF59" s="36">
        <v>358.7</v>
      </c>
      <c r="AG59" s="37"/>
      <c r="AH59" s="36">
        <v>304.5</v>
      </c>
      <c r="AI59" s="37"/>
      <c r="AK59" s="35">
        <v>54</v>
      </c>
      <c r="AL59" s="36">
        <v>128.34</v>
      </c>
      <c r="AM59" s="37"/>
      <c r="AN59" s="36">
        <v>112.95</v>
      </c>
      <c r="AO59" s="37"/>
      <c r="AP59" s="40"/>
      <c r="AQ59" s="35">
        <v>54</v>
      </c>
      <c r="AR59" s="36">
        <v>73.88</v>
      </c>
      <c r="AS59" s="37"/>
      <c r="AT59" s="36">
        <v>64.39</v>
      </c>
      <c r="AU59" s="37"/>
      <c r="AW59" s="40"/>
      <c r="AX59" s="35">
        <v>54</v>
      </c>
      <c r="AY59" s="36">
        <v>49.21</v>
      </c>
      <c r="AZ59" s="37"/>
      <c r="BA59" s="36">
        <v>41.17</v>
      </c>
      <c r="BB59" s="37"/>
    </row>
    <row r="60" spans="1:54" x14ac:dyDescent="0.35">
      <c r="A60" s="35">
        <v>55</v>
      </c>
      <c r="B60" s="36">
        <v>532.34</v>
      </c>
      <c r="C60" s="37"/>
      <c r="D60" s="36">
        <v>459.76</v>
      </c>
      <c r="E60" s="37"/>
      <c r="G60" s="35">
        <v>55</v>
      </c>
      <c r="H60" s="36">
        <v>312.72000000000003</v>
      </c>
      <c r="I60" s="37"/>
      <c r="J60" s="36">
        <v>256.32</v>
      </c>
      <c r="K60" s="37"/>
      <c r="L60" s="40"/>
      <c r="M60" s="35">
        <v>55</v>
      </c>
      <c r="N60" s="36">
        <v>121.29</v>
      </c>
      <c r="O60" s="37"/>
      <c r="P60" s="36">
        <v>104.21</v>
      </c>
      <c r="Q60" s="37"/>
      <c r="R60" s="38"/>
      <c r="S60" s="35">
        <v>55</v>
      </c>
      <c r="T60" s="36">
        <v>67.48</v>
      </c>
      <c r="U60" s="37"/>
      <c r="V60" s="36">
        <v>57.31</v>
      </c>
      <c r="W60" s="37"/>
      <c r="X60" s="39"/>
      <c r="Y60" s="35">
        <v>55</v>
      </c>
      <c r="Z60" s="36">
        <v>561.13</v>
      </c>
      <c r="AA60" s="37"/>
      <c r="AB60" s="36">
        <v>496.88</v>
      </c>
      <c r="AC60" s="37"/>
      <c r="AE60" s="35">
        <v>55</v>
      </c>
      <c r="AF60" s="36">
        <v>369.73</v>
      </c>
      <c r="AG60" s="37"/>
      <c r="AH60" s="36">
        <v>315.11</v>
      </c>
      <c r="AI60" s="37"/>
      <c r="AK60" s="35">
        <v>55</v>
      </c>
      <c r="AL60" s="36">
        <v>131.33000000000001</v>
      </c>
      <c r="AM60" s="37"/>
      <c r="AN60" s="36">
        <v>115.9</v>
      </c>
      <c r="AO60" s="37"/>
      <c r="AP60" s="40"/>
      <c r="AQ60" s="35">
        <v>55</v>
      </c>
      <c r="AR60" s="36">
        <v>75.75</v>
      </c>
      <c r="AS60" s="37"/>
      <c r="AT60" s="36">
        <v>66.16</v>
      </c>
      <c r="AU60" s="37"/>
      <c r="AW60" s="40"/>
      <c r="AX60" s="35">
        <v>55</v>
      </c>
      <c r="AY60" s="36">
        <v>51.04</v>
      </c>
      <c r="AZ60" s="37"/>
      <c r="BA60" s="36">
        <v>42.77</v>
      </c>
      <c r="BB60" s="37"/>
    </row>
    <row r="61" spans="1:54" x14ac:dyDescent="0.35">
      <c r="A61" s="35">
        <v>56</v>
      </c>
      <c r="B61" s="36">
        <v>548.16999999999996</v>
      </c>
      <c r="C61" s="37"/>
      <c r="D61" s="36">
        <v>475.07</v>
      </c>
      <c r="E61" s="37"/>
      <c r="G61" s="35">
        <v>56</v>
      </c>
      <c r="H61" s="36">
        <v>325.81</v>
      </c>
      <c r="I61" s="37"/>
      <c r="J61" s="36">
        <v>268.18</v>
      </c>
      <c r="K61" s="37"/>
      <c r="L61" s="40"/>
      <c r="M61" s="35">
        <v>56</v>
      </c>
      <c r="N61" s="36">
        <v>125.1</v>
      </c>
      <c r="O61" s="37"/>
      <c r="P61" s="36">
        <v>107.81</v>
      </c>
      <c r="Q61" s="37"/>
      <c r="R61" s="38"/>
      <c r="S61" s="35">
        <v>56</v>
      </c>
      <c r="T61" s="36">
        <v>69.78</v>
      </c>
      <c r="U61" s="37"/>
      <c r="V61" s="36">
        <v>59.41</v>
      </c>
      <c r="W61" s="37"/>
      <c r="X61" s="39"/>
      <c r="Y61" s="35">
        <v>56</v>
      </c>
      <c r="Z61" s="36">
        <v>573.57000000000005</v>
      </c>
      <c r="AA61" s="37"/>
      <c r="AB61" s="36">
        <v>509.41</v>
      </c>
      <c r="AC61" s="37"/>
      <c r="AE61" s="35">
        <v>56</v>
      </c>
      <c r="AF61" s="36">
        <v>380.89</v>
      </c>
      <c r="AG61" s="37"/>
      <c r="AH61" s="36">
        <v>325.86</v>
      </c>
      <c r="AI61" s="37"/>
      <c r="AK61" s="35">
        <v>56</v>
      </c>
      <c r="AL61" s="36">
        <v>134.30000000000001</v>
      </c>
      <c r="AM61" s="37"/>
      <c r="AN61" s="36">
        <v>118.85</v>
      </c>
      <c r="AO61" s="37"/>
      <c r="AP61" s="40"/>
      <c r="AQ61" s="35">
        <v>56</v>
      </c>
      <c r="AR61" s="36">
        <v>77.63</v>
      </c>
      <c r="AS61" s="37"/>
      <c r="AT61" s="36">
        <v>67.900000000000006</v>
      </c>
      <c r="AU61" s="37"/>
      <c r="AW61" s="40"/>
      <c r="AX61" s="35">
        <v>56</v>
      </c>
      <c r="AY61" s="36">
        <v>52.93</v>
      </c>
      <c r="AZ61" s="37"/>
      <c r="BA61" s="36">
        <v>44.42</v>
      </c>
      <c r="BB61" s="37"/>
    </row>
    <row r="62" spans="1:54" x14ac:dyDescent="0.35">
      <c r="A62" s="35">
        <v>57</v>
      </c>
      <c r="B62" s="36">
        <v>564.04</v>
      </c>
      <c r="C62" s="37"/>
      <c r="D62" s="36">
        <v>490.54</v>
      </c>
      <c r="E62" s="37"/>
      <c r="G62" s="35">
        <v>57</v>
      </c>
      <c r="H62" s="36">
        <v>339.11</v>
      </c>
      <c r="I62" s="37"/>
      <c r="J62" s="36">
        <v>280.29000000000002</v>
      </c>
      <c r="K62" s="37"/>
      <c r="L62" s="40"/>
      <c r="M62" s="35">
        <v>57</v>
      </c>
      <c r="N62" s="36">
        <v>128.91</v>
      </c>
      <c r="O62" s="37"/>
      <c r="P62" s="36">
        <v>111.4</v>
      </c>
      <c r="Q62" s="37"/>
      <c r="R62" s="38"/>
      <c r="S62" s="35">
        <v>57</v>
      </c>
      <c r="T62" s="36">
        <v>72.099999999999994</v>
      </c>
      <c r="U62" s="37"/>
      <c r="V62" s="36">
        <v>61.52</v>
      </c>
      <c r="W62" s="37"/>
      <c r="X62" s="39"/>
      <c r="Y62" s="35">
        <v>57</v>
      </c>
      <c r="Z62" s="36">
        <v>585.86</v>
      </c>
      <c r="AA62" s="37"/>
      <c r="AB62" s="36">
        <v>521.77</v>
      </c>
      <c r="AC62" s="37"/>
      <c r="AE62" s="35">
        <v>57</v>
      </c>
      <c r="AF62" s="36">
        <v>391.97</v>
      </c>
      <c r="AG62" s="37"/>
      <c r="AH62" s="36">
        <v>336.54</v>
      </c>
      <c r="AI62" s="37"/>
      <c r="AK62" s="35">
        <v>57</v>
      </c>
      <c r="AL62" s="36">
        <v>137.27000000000001</v>
      </c>
      <c r="AM62" s="37"/>
      <c r="AN62" s="36">
        <v>121.73</v>
      </c>
      <c r="AO62" s="37"/>
      <c r="AP62" s="40"/>
      <c r="AQ62" s="35">
        <v>57</v>
      </c>
      <c r="AR62" s="36">
        <v>79.5</v>
      </c>
      <c r="AS62" s="37"/>
      <c r="AT62" s="36">
        <v>69.650000000000006</v>
      </c>
      <c r="AU62" s="37"/>
      <c r="AW62" s="40"/>
      <c r="AX62" s="35">
        <v>57</v>
      </c>
      <c r="AY62" s="36">
        <v>54.85</v>
      </c>
      <c r="AZ62" s="37"/>
      <c r="BA62" s="36">
        <v>46.11</v>
      </c>
      <c r="BB62" s="37"/>
    </row>
    <row r="63" spans="1:54" x14ac:dyDescent="0.35">
      <c r="A63" s="35">
        <v>58</v>
      </c>
      <c r="B63" s="36">
        <v>579.97</v>
      </c>
      <c r="C63" s="37"/>
      <c r="D63" s="36">
        <v>506.24</v>
      </c>
      <c r="E63" s="37"/>
      <c r="G63" s="35">
        <v>58</v>
      </c>
      <c r="H63" s="36">
        <v>352.69</v>
      </c>
      <c r="I63" s="37"/>
      <c r="J63" s="36">
        <v>292.77999999999997</v>
      </c>
      <c r="K63" s="37"/>
      <c r="L63" s="40"/>
      <c r="M63" s="35">
        <v>58</v>
      </c>
      <c r="N63" s="36">
        <v>132.74</v>
      </c>
      <c r="O63" s="37"/>
      <c r="P63" s="36">
        <v>115.05</v>
      </c>
      <c r="Q63" s="37"/>
      <c r="R63" s="38"/>
      <c r="S63" s="35">
        <v>58</v>
      </c>
      <c r="T63" s="36">
        <v>74.430000000000007</v>
      </c>
      <c r="U63" s="37"/>
      <c r="V63" s="36">
        <v>63.68</v>
      </c>
      <c r="W63" s="37"/>
      <c r="X63" s="39"/>
      <c r="Y63" s="35">
        <v>58</v>
      </c>
      <c r="Z63" s="36">
        <v>598.14</v>
      </c>
      <c r="AA63" s="37"/>
      <c r="AB63" s="36">
        <v>534.20000000000005</v>
      </c>
      <c r="AC63" s="37"/>
      <c r="AE63" s="35">
        <v>58</v>
      </c>
      <c r="AF63" s="36">
        <v>403.13</v>
      </c>
      <c r="AG63" s="37"/>
      <c r="AH63" s="36">
        <v>347.38</v>
      </c>
      <c r="AI63" s="37"/>
      <c r="AK63" s="35">
        <v>58</v>
      </c>
      <c r="AL63" s="36">
        <v>140.22999999999999</v>
      </c>
      <c r="AM63" s="37"/>
      <c r="AN63" s="36">
        <v>124.62</v>
      </c>
      <c r="AO63" s="37"/>
      <c r="AP63" s="40"/>
      <c r="AQ63" s="35">
        <v>58</v>
      </c>
      <c r="AR63" s="36">
        <v>81.37</v>
      </c>
      <c r="AS63" s="37"/>
      <c r="AT63" s="36">
        <v>71.430000000000007</v>
      </c>
      <c r="AU63" s="37"/>
      <c r="AW63" s="40"/>
      <c r="AX63" s="35">
        <v>58</v>
      </c>
      <c r="AY63" s="36">
        <v>56.83</v>
      </c>
      <c r="AZ63" s="37"/>
      <c r="BA63" s="36">
        <v>47.83</v>
      </c>
      <c r="BB63" s="37"/>
    </row>
    <row r="64" spans="1:54" x14ac:dyDescent="0.35">
      <c r="A64" s="35">
        <v>59</v>
      </c>
      <c r="B64" s="36">
        <v>595.91999999999996</v>
      </c>
      <c r="C64" s="37"/>
      <c r="D64" s="36">
        <v>522.07000000000005</v>
      </c>
      <c r="E64" s="37"/>
      <c r="G64" s="35">
        <v>59</v>
      </c>
      <c r="H64" s="36">
        <v>366.54</v>
      </c>
      <c r="I64" s="37"/>
      <c r="J64" s="36">
        <v>305.58999999999997</v>
      </c>
      <c r="K64" s="37"/>
      <c r="L64" s="40"/>
      <c r="M64" s="35">
        <v>59</v>
      </c>
      <c r="N64" s="36">
        <v>136.59</v>
      </c>
      <c r="O64" s="37"/>
      <c r="P64" s="36">
        <v>118.75</v>
      </c>
      <c r="Q64" s="37"/>
      <c r="R64" s="38"/>
      <c r="S64" s="35">
        <v>59</v>
      </c>
      <c r="T64" s="36">
        <v>76.84</v>
      </c>
      <c r="U64" s="37"/>
      <c r="V64" s="36">
        <v>65.88</v>
      </c>
      <c r="W64" s="37"/>
      <c r="X64" s="39"/>
      <c r="Y64" s="35">
        <v>59</v>
      </c>
      <c r="Z64" s="36">
        <v>610.45000000000005</v>
      </c>
      <c r="AA64" s="37"/>
      <c r="AB64" s="36">
        <v>546.65</v>
      </c>
      <c r="AC64" s="37"/>
      <c r="AE64" s="35">
        <v>59</v>
      </c>
      <c r="AF64" s="36">
        <v>414.42</v>
      </c>
      <c r="AG64" s="37"/>
      <c r="AH64" s="36">
        <v>358.35</v>
      </c>
      <c r="AI64" s="37"/>
      <c r="AK64" s="35">
        <v>59</v>
      </c>
      <c r="AL64" s="36">
        <v>144.41999999999999</v>
      </c>
      <c r="AM64" s="37"/>
      <c r="AN64" s="36">
        <v>127.53</v>
      </c>
      <c r="AO64" s="37"/>
      <c r="AP64" s="40"/>
      <c r="AQ64" s="35">
        <v>59</v>
      </c>
      <c r="AR64" s="36">
        <v>83.32</v>
      </c>
      <c r="AS64" s="37"/>
      <c r="AT64" s="36">
        <v>73.23</v>
      </c>
      <c r="AU64" s="37"/>
      <c r="AW64" s="40"/>
      <c r="AX64" s="35">
        <v>59</v>
      </c>
      <c r="AY64" s="36">
        <v>58.87</v>
      </c>
      <c r="AZ64" s="37"/>
      <c r="BA64" s="36">
        <v>49.62</v>
      </c>
      <c r="BB64" s="37"/>
    </row>
    <row r="65" spans="1:54" x14ac:dyDescent="0.35">
      <c r="A65" s="35">
        <v>60</v>
      </c>
      <c r="B65" s="36">
        <v>611.88</v>
      </c>
      <c r="C65" s="37"/>
      <c r="D65" s="36">
        <v>538.16999999999996</v>
      </c>
      <c r="E65" s="37"/>
      <c r="G65" s="35">
        <v>60</v>
      </c>
      <c r="H65" s="36">
        <v>380.65</v>
      </c>
      <c r="I65" s="37"/>
      <c r="J65" s="36">
        <v>318.85000000000002</v>
      </c>
      <c r="K65" s="37"/>
      <c r="L65" s="40"/>
      <c r="M65" s="35">
        <v>60</v>
      </c>
      <c r="N65" s="36">
        <v>140.47999999999999</v>
      </c>
      <c r="O65" s="37"/>
      <c r="P65" s="36">
        <v>122.48</v>
      </c>
      <c r="Q65" s="37"/>
      <c r="R65" s="38"/>
      <c r="S65" s="35">
        <v>60</v>
      </c>
      <c r="T65" s="36">
        <v>79.31</v>
      </c>
      <c r="U65" s="37"/>
      <c r="V65" s="36">
        <v>68.150000000000006</v>
      </c>
      <c r="W65" s="37"/>
      <c r="X65" s="39"/>
      <c r="Y65" s="35">
        <v>60</v>
      </c>
      <c r="Z65" s="36">
        <v>622.83000000000004</v>
      </c>
      <c r="AA65" s="37"/>
      <c r="AB65" s="36">
        <v>559.15</v>
      </c>
      <c r="AC65" s="37"/>
      <c r="AE65" s="35">
        <v>60</v>
      </c>
      <c r="AF65" s="36">
        <v>425.75</v>
      </c>
      <c r="AG65" s="37"/>
      <c r="AH65" s="36">
        <v>369.47</v>
      </c>
      <c r="AI65" s="37"/>
      <c r="AK65" s="35">
        <v>60</v>
      </c>
      <c r="AL65" s="36">
        <v>148.76</v>
      </c>
      <c r="AM65" s="37"/>
      <c r="AN65" s="36">
        <v>130.4</v>
      </c>
      <c r="AO65" s="37"/>
      <c r="AP65" s="40"/>
      <c r="AQ65" s="35">
        <v>60</v>
      </c>
      <c r="AR65" s="36">
        <v>85.29</v>
      </c>
      <c r="AS65" s="37"/>
      <c r="AT65" s="36">
        <v>75.06</v>
      </c>
      <c r="AU65" s="37"/>
      <c r="AW65" s="40"/>
      <c r="AX65" s="35">
        <v>60</v>
      </c>
      <c r="AY65" s="36">
        <v>60.97</v>
      </c>
      <c r="AZ65" s="37"/>
      <c r="BA65" s="36">
        <v>51.49</v>
      </c>
      <c r="BB65" s="37"/>
    </row>
    <row r="66" spans="1:54" x14ac:dyDescent="0.35">
      <c r="A66" s="35">
        <v>61</v>
      </c>
      <c r="B66" s="36">
        <v>627.77</v>
      </c>
      <c r="C66" s="37"/>
      <c r="D66" s="36">
        <v>554.41999999999996</v>
      </c>
      <c r="E66" s="37"/>
      <c r="G66" s="35">
        <v>61</v>
      </c>
      <c r="H66" s="36">
        <v>394.99</v>
      </c>
      <c r="I66" s="37"/>
      <c r="J66" s="36">
        <v>332.47</v>
      </c>
      <c r="K66" s="37"/>
      <c r="L66" s="40"/>
      <c r="M66" s="35">
        <v>61</v>
      </c>
      <c r="N66" s="36">
        <v>144.35</v>
      </c>
      <c r="O66" s="37"/>
      <c r="P66" s="36">
        <v>126.33</v>
      </c>
      <c r="Q66" s="37"/>
      <c r="R66" s="38"/>
      <c r="S66" s="35">
        <v>61</v>
      </c>
      <c r="T66" s="36">
        <v>81.819999999999993</v>
      </c>
      <c r="U66" s="37"/>
      <c r="V66" s="36">
        <v>70.48</v>
      </c>
      <c r="W66" s="37"/>
      <c r="X66" s="39"/>
      <c r="Y66" s="35">
        <v>61</v>
      </c>
      <c r="Z66" s="36">
        <v>635.23</v>
      </c>
      <c r="AA66" s="37"/>
      <c r="AB66" s="36">
        <v>571.72</v>
      </c>
      <c r="AC66" s="37"/>
      <c r="AE66" s="35">
        <v>61</v>
      </c>
      <c r="AF66" s="36">
        <v>437.19</v>
      </c>
      <c r="AG66" s="37"/>
      <c r="AH66" s="36">
        <v>380.74</v>
      </c>
      <c r="AI66" s="37"/>
      <c r="AK66" s="35">
        <v>61</v>
      </c>
      <c r="AL66" s="36">
        <v>153.19</v>
      </c>
      <c r="AM66" s="37"/>
      <c r="AN66" s="36">
        <v>133.4</v>
      </c>
      <c r="AO66" s="37"/>
      <c r="AP66" s="40"/>
      <c r="AQ66" s="35">
        <v>61</v>
      </c>
      <c r="AR66" s="36">
        <v>87.47</v>
      </c>
      <c r="AS66" s="37"/>
      <c r="AT66" s="36">
        <v>76.930000000000007</v>
      </c>
      <c r="AU66" s="37"/>
      <c r="AW66" s="40"/>
      <c r="AX66" s="35">
        <v>61</v>
      </c>
      <c r="AY66" s="36"/>
      <c r="AZ66" s="37"/>
      <c r="BA66" s="36"/>
      <c r="BB66" s="37"/>
    </row>
    <row r="67" spans="1:54" x14ac:dyDescent="0.35">
      <c r="A67" s="35">
        <v>62</v>
      </c>
      <c r="B67" s="36">
        <v>643.24</v>
      </c>
      <c r="C67" s="37"/>
      <c r="D67" s="36">
        <v>570.52</v>
      </c>
      <c r="E67" s="37"/>
      <c r="G67" s="35">
        <v>62</v>
      </c>
      <c r="H67" s="36">
        <v>409.37</v>
      </c>
      <c r="I67" s="37"/>
      <c r="J67" s="36">
        <v>346.28</v>
      </c>
      <c r="K67" s="37"/>
      <c r="L67" s="40"/>
      <c r="M67" s="35">
        <v>62</v>
      </c>
      <c r="N67" s="36">
        <v>148.26</v>
      </c>
      <c r="O67" s="37"/>
      <c r="P67" s="36">
        <v>130.18</v>
      </c>
      <c r="Q67" s="37"/>
      <c r="R67" s="38"/>
      <c r="S67" s="35">
        <v>62</v>
      </c>
      <c r="T67" s="36">
        <v>84.36</v>
      </c>
      <c r="U67" s="37"/>
      <c r="V67" s="36">
        <v>72.819999999999993</v>
      </c>
      <c r="W67" s="37"/>
      <c r="X67" s="39"/>
      <c r="Y67" s="35">
        <v>62</v>
      </c>
      <c r="Z67" s="36">
        <v>647.45000000000005</v>
      </c>
      <c r="AA67" s="37"/>
      <c r="AB67" s="36">
        <v>584.29999999999995</v>
      </c>
      <c r="AC67" s="37"/>
      <c r="AE67" s="35">
        <v>62</v>
      </c>
      <c r="AF67" s="36">
        <v>448.59</v>
      </c>
      <c r="AG67" s="37"/>
      <c r="AH67" s="36">
        <v>392.11</v>
      </c>
      <c r="AI67" s="37"/>
      <c r="AK67" s="35">
        <v>62</v>
      </c>
      <c r="AL67" s="36">
        <v>157.66999999999999</v>
      </c>
      <c r="AM67" s="37"/>
      <c r="AN67" s="36">
        <v>136.4</v>
      </c>
      <c r="AO67" s="37"/>
      <c r="AP67" s="40"/>
      <c r="AQ67" s="35">
        <v>62</v>
      </c>
      <c r="AR67" s="36">
        <v>90.2</v>
      </c>
      <c r="AS67" s="37"/>
      <c r="AT67" s="36">
        <v>78.83</v>
      </c>
      <c r="AU67" s="37"/>
      <c r="AW67" s="40"/>
      <c r="AX67" s="35">
        <v>62</v>
      </c>
      <c r="AY67" s="36"/>
      <c r="AZ67" s="37"/>
      <c r="BA67" s="36"/>
      <c r="BB67" s="37"/>
    </row>
    <row r="68" spans="1:54" x14ac:dyDescent="0.35">
      <c r="A68" s="35">
        <v>63</v>
      </c>
      <c r="B68" s="36">
        <v>658.48</v>
      </c>
      <c r="C68" s="37"/>
      <c r="D68" s="36">
        <v>586.64</v>
      </c>
      <c r="E68" s="37"/>
      <c r="G68" s="35">
        <v>63</v>
      </c>
      <c r="H68" s="36">
        <v>423.81</v>
      </c>
      <c r="I68" s="37"/>
      <c r="J68" s="36">
        <v>360.44</v>
      </c>
      <c r="K68" s="37"/>
      <c r="L68" s="40"/>
      <c r="M68" s="35">
        <v>63</v>
      </c>
      <c r="N68" s="36">
        <v>152.15</v>
      </c>
      <c r="O68" s="37"/>
      <c r="P68" s="36">
        <v>134.08000000000001</v>
      </c>
      <c r="Q68" s="37"/>
      <c r="R68" s="38"/>
      <c r="S68" s="35">
        <v>63</v>
      </c>
      <c r="T68" s="36">
        <v>86.91</v>
      </c>
      <c r="U68" s="37"/>
      <c r="V68" s="36">
        <v>75.260000000000005</v>
      </c>
      <c r="W68" s="37"/>
      <c r="X68" s="39"/>
      <c r="Y68" s="35">
        <v>63</v>
      </c>
      <c r="Z68" s="36">
        <v>659.72</v>
      </c>
      <c r="AA68" s="37"/>
      <c r="AB68" s="36">
        <v>596.89</v>
      </c>
      <c r="AC68" s="37"/>
      <c r="AE68" s="35">
        <v>63</v>
      </c>
      <c r="AF68" s="36">
        <v>460.09</v>
      </c>
      <c r="AG68" s="37"/>
      <c r="AH68" s="36">
        <v>403.71</v>
      </c>
      <c r="AI68" s="37"/>
      <c r="AK68" s="35">
        <v>63</v>
      </c>
      <c r="AL68" s="36">
        <v>162.24</v>
      </c>
      <c r="AM68" s="37"/>
      <c r="AN68" s="36">
        <v>140.18</v>
      </c>
      <c r="AO68" s="37"/>
      <c r="AP68" s="40"/>
      <c r="AQ68" s="35">
        <v>63</v>
      </c>
      <c r="AR68" s="36">
        <v>93.02</v>
      </c>
      <c r="AS68" s="37"/>
      <c r="AT68" s="36">
        <v>80.81</v>
      </c>
      <c r="AU68" s="37"/>
      <c r="AW68" s="40"/>
      <c r="AX68" s="35">
        <v>63</v>
      </c>
      <c r="AY68" s="36"/>
      <c r="AZ68" s="37"/>
      <c r="BA68" s="36"/>
      <c r="BB68" s="37"/>
    </row>
    <row r="69" spans="1:54" x14ac:dyDescent="0.35">
      <c r="A69" s="35">
        <v>64</v>
      </c>
      <c r="B69" s="36">
        <v>673.44</v>
      </c>
      <c r="C69" s="37"/>
      <c r="D69" s="36">
        <v>602.74</v>
      </c>
      <c r="E69" s="37"/>
      <c r="G69" s="35">
        <v>64</v>
      </c>
      <c r="H69" s="36">
        <v>438.35</v>
      </c>
      <c r="I69" s="37"/>
      <c r="J69" s="36">
        <v>374.86</v>
      </c>
      <c r="K69" s="37"/>
      <c r="L69" s="40"/>
      <c r="M69" s="35">
        <v>64</v>
      </c>
      <c r="N69" s="36">
        <v>157.66999999999999</v>
      </c>
      <c r="O69" s="37"/>
      <c r="P69" s="36">
        <v>138</v>
      </c>
      <c r="Q69" s="37"/>
      <c r="R69" s="38"/>
      <c r="S69" s="35">
        <v>64</v>
      </c>
      <c r="T69" s="36">
        <v>89.55</v>
      </c>
      <c r="U69" s="37"/>
      <c r="V69" s="36">
        <v>77.760000000000005</v>
      </c>
      <c r="W69" s="37"/>
      <c r="X69" s="39"/>
      <c r="Y69" s="35">
        <v>64</v>
      </c>
      <c r="Z69" s="36">
        <v>671.44</v>
      </c>
      <c r="AA69" s="37"/>
      <c r="AB69" s="36">
        <v>608.09</v>
      </c>
      <c r="AC69" s="37"/>
      <c r="AE69" s="35">
        <v>64</v>
      </c>
      <c r="AF69" s="36">
        <v>471.27</v>
      </c>
      <c r="AG69" s="37"/>
      <c r="AH69" s="36">
        <v>414.34</v>
      </c>
      <c r="AI69" s="37"/>
      <c r="AK69" s="35">
        <v>64</v>
      </c>
      <c r="AL69" s="36">
        <v>166.76</v>
      </c>
      <c r="AM69" s="37"/>
      <c r="AN69" s="36">
        <v>144.21</v>
      </c>
      <c r="AO69" s="37"/>
      <c r="AP69" s="40"/>
      <c r="AQ69" s="35">
        <v>64</v>
      </c>
      <c r="AR69" s="36">
        <v>95.86</v>
      </c>
      <c r="AS69" s="37"/>
      <c r="AT69" s="36">
        <v>82.61</v>
      </c>
      <c r="AU69" s="37"/>
      <c r="AW69" s="40"/>
      <c r="AX69" s="35">
        <v>64</v>
      </c>
      <c r="AY69" s="36"/>
      <c r="AZ69" s="37"/>
      <c r="BA69" s="36"/>
      <c r="BB69" s="37"/>
    </row>
    <row r="70" spans="1:54" x14ac:dyDescent="0.35">
      <c r="A70" s="35">
        <v>65</v>
      </c>
      <c r="B70" s="36">
        <v>688.22</v>
      </c>
      <c r="C70" s="37"/>
      <c r="D70" s="36">
        <v>618.77</v>
      </c>
      <c r="E70" s="37"/>
      <c r="G70" s="35">
        <v>65</v>
      </c>
      <c r="H70" s="36">
        <v>453.02</v>
      </c>
      <c r="I70" s="37"/>
      <c r="J70" s="36">
        <v>389.51</v>
      </c>
      <c r="K70" s="37"/>
      <c r="L70" s="40"/>
      <c r="M70" s="35">
        <v>65</v>
      </c>
      <c r="N70" s="36">
        <v>163.30000000000001</v>
      </c>
      <c r="O70" s="37"/>
      <c r="P70" s="36">
        <v>141.91</v>
      </c>
      <c r="Q70" s="37"/>
      <c r="R70" s="38"/>
      <c r="S70" s="35">
        <v>65</v>
      </c>
      <c r="T70" s="36">
        <v>92.26</v>
      </c>
      <c r="U70" s="37"/>
      <c r="V70" s="36">
        <v>80.3</v>
      </c>
      <c r="W70" s="37"/>
      <c r="X70" s="39"/>
      <c r="Y70" s="35">
        <v>65</v>
      </c>
      <c r="Z70" s="36">
        <v>683.81</v>
      </c>
      <c r="AA70" s="37"/>
      <c r="AB70" s="36">
        <v>621.07000000000005</v>
      </c>
      <c r="AC70" s="37"/>
      <c r="AE70" s="35">
        <v>65</v>
      </c>
      <c r="AF70" s="36">
        <v>482.92</v>
      </c>
      <c r="AG70" s="37"/>
      <c r="AH70" s="36">
        <v>426.2</v>
      </c>
      <c r="AI70" s="37"/>
      <c r="AK70" s="35">
        <v>65</v>
      </c>
      <c r="AL70" s="36">
        <v>171.5</v>
      </c>
      <c r="AM70" s="37"/>
      <c r="AN70" s="36">
        <v>148.88999999999999</v>
      </c>
      <c r="AO70" s="37"/>
      <c r="AP70" s="40"/>
      <c r="AQ70" s="35">
        <v>65</v>
      </c>
      <c r="AR70" s="36">
        <v>98.88</v>
      </c>
      <c r="AS70" s="37"/>
      <c r="AT70" s="36">
        <v>84.69</v>
      </c>
      <c r="AU70" s="37"/>
      <c r="AW70" s="40"/>
      <c r="AX70" s="35">
        <v>65</v>
      </c>
      <c r="AY70" s="36"/>
      <c r="AZ70" s="37"/>
      <c r="BA70" s="36"/>
      <c r="BB70" s="37"/>
    </row>
    <row r="71" spans="1:54" x14ac:dyDescent="0.35">
      <c r="A71" s="35">
        <v>66</v>
      </c>
      <c r="B71" s="36">
        <v>702.62</v>
      </c>
      <c r="C71" s="37"/>
      <c r="D71" s="36">
        <v>634.70000000000005</v>
      </c>
      <c r="E71" s="37"/>
      <c r="G71" s="35">
        <v>66</v>
      </c>
      <c r="H71" s="36">
        <v>467.67</v>
      </c>
      <c r="I71" s="37"/>
      <c r="J71" s="36">
        <v>404.42</v>
      </c>
      <c r="K71" s="37"/>
      <c r="L71" s="40"/>
      <c r="M71" s="35">
        <v>66</v>
      </c>
      <c r="N71" s="36">
        <v>168.97</v>
      </c>
      <c r="O71" s="37"/>
      <c r="P71" s="36">
        <v>145.85</v>
      </c>
      <c r="Q71" s="37"/>
      <c r="R71" s="38"/>
      <c r="S71" s="35">
        <v>66</v>
      </c>
      <c r="T71" s="36"/>
      <c r="U71" s="37"/>
      <c r="V71" s="36"/>
      <c r="W71" s="37"/>
      <c r="X71" s="42"/>
      <c r="Y71" s="35">
        <v>66</v>
      </c>
      <c r="Z71" s="36">
        <v>696.13</v>
      </c>
      <c r="AA71" s="37"/>
      <c r="AB71" s="36">
        <v>634.01</v>
      </c>
      <c r="AC71" s="37"/>
      <c r="AE71" s="35">
        <v>66</v>
      </c>
      <c r="AF71" s="36">
        <v>494.58</v>
      </c>
      <c r="AG71" s="37"/>
      <c r="AH71" s="36">
        <v>438.11</v>
      </c>
      <c r="AI71" s="37"/>
      <c r="AK71" s="35">
        <v>66</v>
      </c>
      <c r="AL71" s="36">
        <v>176.31</v>
      </c>
      <c r="AM71" s="37"/>
      <c r="AN71" s="36">
        <v>153.44</v>
      </c>
      <c r="AO71" s="37"/>
      <c r="AP71" s="40"/>
      <c r="AQ71" s="35">
        <v>66</v>
      </c>
      <c r="AR71" s="36"/>
      <c r="AS71" s="37"/>
      <c r="AT71" s="36"/>
      <c r="AU71" s="37"/>
      <c r="AW71" s="40"/>
      <c r="AX71" s="35"/>
      <c r="AY71" s="36"/>
      <c r="AZ71" s="37"/>
      <c r="BA71" s="36"/>
      <c r="BB71" s="37"/>
    </row>
    <row r="72" spans="1:54" x14ac:dyDescent="0.35">
      <c r="A72" s="35">
        <v>67</v>
      </c>
      <c r="B72" s="36">
        <v>716.22</v>
      </c>
      <c r="C72" s="37"/>
      <c r="D72" s="36">
        <v>650.16</v>
      </c>
      <c r="E72" s="37"/>
      <c r="G72" s="35">
        <v>67</v>
      </c>
      <c r="H72" s="36">
        <v>481.99</v>
      </c>
      <c r="I72" s="37"/>
      <c r="J72" s="36">
        <v>419.21</v>
      </c>
      <c r="K72" s="37"/>
      <c r="L72" s="40"/>
      <c r="M72" s="35">
        <v>67</v>
      </c>
      <c r="N72" s="36">
        <v>174.57</v>
      </c>
      <c r="O72" s="37"/>
      <c r="P72" s="36">
        <v>149.96</v>
      </c>
      <c r="Q72" s="37"/>
      <c r="R72" s="38"/>
      <c r="S72" s="35">
        <v>67</v>
      </c>
      <c r="T72" s="36"/>
      <c r="U72" s="37"/>
      <c r="V72" s="36"/>
      <c r="W72" s="37"/>
      <c r="X72" s="42"/>
      <c r="Y72" s="35">
        <v>67</v>
      </c>
      <c r="Z72" s="36">
        <v>708.21</v>
      </c>
      <c r="AA72" s="37"/>
      <c r="AB72" s="36">
        <v>646.99</v>
      </c>
      <c r="AC72" s="37"/>
      <c r="AE72" s="35">
        <v>67</v>
      </c>
      <c r="AF72" s="36">
        <v>506.09</v>
      </c>
      <c r="AG72" s="37"/>
      <c r="AH72" s="36">
        <v>450.12</v>
      </c>
      <c r="AI72" s="37"/>
      <c r="AK72" s="35">
        <v>67</v>
      </c>
      <c r="AL72" s="36">
        <v>181.11</v>
      </c>
      <c r="AM72" s="37"/>
      <c r="AN72" s="36">
        <v>158.18</v>
      </c>
      <c r="AO72" s="37"/>
      <c r="AP72" s="40"/>
      <c r="AQ72" s="35">
        <v>67</v>
      </c>
      <c r="AR72" s="36"/>
      <c r="AS72" s="37"/>
      <c r="AT72" s="36"/>
      <c r="AU72" s="37"/>
      <c r="AW72" s="40"/>
      <c r="AX72" s="35"/>
      <c r="AY72" s="36"/>
      <c r="AZ72" s="37"/>
      <c r="BA72" s="36"/>
      <c r="BB72" s="37"/>
    </row>
    <row r="73" spans="1:54" x14ac:dyDescent="0.35">
      <c r="A73" s="35">
        <v>68</v>
      </c>
      <c r="B73" s="36">
        <v>729.29</v>
      </c>
      <c r="C73" s="37"/>
      <c r="D73" s="36">
        <v>665.17</v>
      </c>
      <c r="E73" s="37"/>
      <c r="G73" s="35">
        <v>68</v>
      </c>
      <c r="H73" s="36">
        <v>496.14</v>
      </c>
      <c r="I73" s="37"/>
      <c r="J73" s="36">
        <v>433.99</v>
      </c>
      <c r="K73" s="37"/>
      <c r="L73" s="40"/>
      <c r="M73" s="35">
        <v>68</v>
      </c>
      <c r="N73" s="36">
        <v>180.19</v>
      </c>
      <c r="O73" s="37"/>
      <c r="P73" s="36">
        <v>155.55000000000001</v>
      </c>
      <c r="Q73" s="37"/>
      <c r="R73" s="38"/>
      <c r="S73" s="35">
        <v>68</v>
      </c>
      <c r="T73" s="36"/>
      <c r="U73" s="37"/>
      <c r="V73" s="36"/>
      <c r="W73" s="37"/>
      <c r="X73" s="42"/>
      <c r="Y73" s="35">
        <v>68</v>
      </c>
      <c r="Z73" s="36">
        <v>720.14</v>
      </c>
      <c r="AA73" s="37"/>
      <c r="AB73" s="36">
        <v>659.87</v>
      </c>
      <c r="AC73" s="37"/>
      <c r="AE73" s="35">
        <v>68</v>
      </c>
      <c r="AF73" s="36">
        <v>517.6</v>
      </c>
      <c r="AG73" s="37"/>
      <c r="AH73" s="36">
        <v>462.13</v>
      </c>
      <c r="AI73" s="37"/>
      <c r="AK73" s="35">
        <v>68</v>
      </c>
      <c r="AL73" s="36">
        <v>186</v>
      </c>
      <c r="AM73" s="37"/>
      <c r="AN73" s="36">
        <v>163.09</v>
      </c>
      <c r="AO73" s="37"/>
      <c r="AP73" s="40"/>
      <c r="AQ73" s="35">
        <v>68</v>
      </c>
      <c r="AR73" s="36"/>
      <c r="AS73" s="37"/>
      <c r="AT73" s="36"/>
      <c r="AU73" s="37"/>
      <c r="AW73" s="40"/>
      <c r="AX73" s="35"/>
      <c r="AY73" s="36"/>
      <c r="AZ73" s="37"/>
      <c r="BA73" s="36"/>
      <c r="BB73" s="37"/>
    </row>
    <row r="74" spans="1:54" x14ac:dyDescent="0.35">
      <c r="A74" s="35">
        <v>69</v>
      </c>
      <c r="B74" s="36">
        <v>741.98</v>
      </c>
      <c r="C74" s="37"/>
      <c r="D74" s="36">
        <v>680.04</v>
      </c>
      <c r="E74" s="37"/>
      <c r="G74" s="35">
        <v>69</v>
      </c>
      <c r="H74" s="36">
        <v>510.18</v>
      </c>
      <c r="I74" s="37"/>
      <c r="J74" s="36">
        <v>448.94</v>
      </c>
      <c r="K74" s="37"/>
      <c r="L74" s="40"/>
      <c r="M74" s="35">
        <v>69</v>
      </c>
      <c r="N74" s="36">
        <v>185.88</v>
      </c>
      <c r="O74" s="37"/>
      <c r="P74" s="36">
        <v>161.25</v>
      </c>
      <c r="Q74" s="37"/>
      <c r="R74" s="38"/>
      <c r="S74" s="35">
        <v>69</v>
      </c>
      <c r="T74" s="36"/>
      <c r="U74" s="37"/>
      <c r="V74" s="36"/>
      <c r="W74" s="37"/>
      <c r="X74" s="42"/>
      <c r="Y74" s="35">
        <v>69</v>
      </c>
      <c r="Z74" s="36">
        <v>731.2</v>
      </c>
      <c r="AA74" s="37"/>
      <c r="AB74" s="36">
        <v>670.96</v>
      </c>
      <c r="AC74" s="37"/>
      <c r="AE74" s="35">
        <v>69</v>
      </c>
      <c r="AF74" s="36">
        <v>528.42999999999995</v>
      </c>
      <c r="AG74" s="37"/>
      <c r="AH74" s="36">
        <v>472.94</v>
      </c>
      <c r="AI74" s="37"/>
      <c r="AK74" s="35">
        <v>69</v>
      </c>
      <c r="AL74" s="36">
        <v>190.73</v>
      </c>
      <c r="AM74" s="37"/>
      <c r="AN74" s="36">
        <v>167.52</v>
      </c>
      <c r="AO74" s="37"/>
      <c r="AP74" s="40"/>
      <c r="AQ74" s="35">
        <v>69</v>
      </c>
      <c r="AR74" s="36"/>
      <c r="AS74" s="37"/>
      <c r="AT74" s="36"/>
      <c r="AU74" s="37"/>
      <c r="AW74" s="40"/>
      <c r="AX74" s="35"/>
      <c r="AY74" s="36"/>
      <c r="AZ74" s="37"/>
      <c r="BA74" s="36"/>
      <c r="BB74" s="37"/>
    </row>
    <row r="75" spans="1:54" x14ac:dyDescent="0.35">
      <c r="A75" s="35">
        <v>70</v>
      </c>
      <c r="B75" s="36">
        <v>754.31</v>
      </c>
      <c r="C75" s="37"/>
      <c r="D75" s="36">
        <v>694.67</v>
      </c>
      <c r="E75" s="37"/>
      <c r="G75" s="35">
        <v>70</v>
      </c>
      <c r="H75" s="36">
        <v>524.23</v>
      </c>
      <c r="I75" s="37"/>
      <c r="J75" s="36">
        <v>463.94</v>
      </c>
      <c r="K75" s="37"/>
      <c r="L75" s="40"/>
      <c r="M75" s="35">
        <v>70</v>
      </c>
      <c r="N75" s="36">
        <v>191.74</v>
      </c>
      <c r="O75" s="37"/>
      <c r="P75" s="36">
        <v>167.06</v>
      </c>
      <c r="Q75" s="37"/>
      <c r="R75" s="38"/>
      <c r="S75" s="35">
        <v>70</v>
      </c>
      <c r="T75" s="36"/>
      <c r="U75" s="37"/>
      <c r="V75" s="36"/>
      <c r="W75" s="37"/>
      <c r="X75" s="42"/>
      <c r="Y75" s="35">
        <v>70</v>
      </c>
      <c r="Z75" s="36">
        <v>743.27</v>
      </c>
      <c r="AA75" s="37"/>
      <c r="AB75" s="36">
        <v>684.34</v>
      </c>
      <c r="AC75" s="37"/>
      <c r="AE75" s="35">
        <v>70</v>
      </c>
      <c r="AF75" s="36">
        <v>540.1</v>
      </c>
      <c r="AG75" s="37"/>
      <c r="AH75" s="36">
        <v>485.33</v>
      </c>
      <c r="AI75" s="37"/>
      <c r="AK75" s="35">
        <v>70</v>
      </c>
      <c r="AL75" s="36">
        <v>195.94</v>
      </c>
      <c r="AM75" s="37"/>
      <c r="AN75" s="36">
        <v>172.6</v>
      </c>
      <c r="AO75" s="37"/>
      <c r="AP75" s="40"/>
      <c r="AQ75" s="35">
        <v>70</v>
      </c>
      <c r="AR75" s="36"/>
      <c r="AS75" s="37"/>
      <c r="AT75" s="36"/>
      <c r="AU75" s="37"/>
      <c r="AW75" s="40"/>
      <c r="AX75" s="35"/>
      <c r="AY75" s="36"/>
      <c r="AZ75" s="37"/>
      <c r="BA75" s="36"/>
      <c r="BB75" s="37"/>
    </row>
    <row r="76" spans="1:54" x14ac:dyDescent="0.35">
      <c r="A76" s="35"/>
      <c r="B76" s="43"/>
      <c r="C76" s="43"/>
      <c r="D76" s="43"/>
      <c r="E76" s="44"/>
      <c r="G76" s="35"/>
      <c r="H76" s="43"/>
      <c r="I76" s="43"/>
      <c r="J76" s="43"/>
      <c r="K76" s="44"/>
      <c r="L76" s="40"/>
      <c r="M76" s="35"/>
      <c r="N76" s="43"/>
      <c r="O76" s="43"/>
      <c r="P76" s="43"/>
      <c r="Q76" s="44"/>
      <c r="R76" s="38"/>
      <c r="S76" s="35"/>
      <c r="T76" s="43"/>
      <c r="U76" s="43"/>
      <c r="V76" s="36"/>
      <c r="W76" s="44"/>
      <c r="Y76" s="35"/>
      <c r="Z76" s="43"/>
      <c r="AA76" s="43"/>
      <c r="AB76" s="43"/>
      <c r="AC76" s="44"/>
      <c r="AE76" s="35"/>
      <c r="AF76" s="43"/>
      <c r="AG76" s="36"/>
      <c r="AH76" s="43"/>
      <c r="AI76" s="44"/>
      <c r="AK76" s="35"/>
      <c r="AL76" s="43"/>
      <c r="AM76" s="43"/>
      <c r="AN76" s="43"/>
      <c r="AO76" s="44"/>
      <c r="AP76" s="40"/>
      <c r="AQ76" s="35"/>
      <c r="AR76" s="43"/>
      <c r="AS76" s="45"/>
      <c r="AT76" s="43"/>
      <c r="AU76" s="45"/>
      <c r="AW76" s="40"/>
      <c r="AX76" s="35"/>
      <c r="AY76" s="43"/>
      <c r="AZ76" s="43"/>
      <c r="BA76" s="43"/>
      <c r="BB76" s="44"/>
    </row>
    <row r="77" spans="1:54" x14ac:dyDescent="0.35">
      <c r="A77" s="35"/>
      <c r="B77" s="43"/>
      <c r="C77" s="43"/>
      <c r="D77" s="43"/>
      <c r="E77" s="44"/>
      <c r="G77" s="35"/>
      <c r="H77" s="43"/>
      <c r="I77" s="43"/>
      <c r="J77" s="43"/>
      <c r="K77" s="44"/>
      <c r="L77" s="40"/>
      <c r="M77" s="35"/>
      <c r="N77" s="43"/>
      <c r="O77" s="43"/>
      <c r="P77" s="43"/>
      <c r="Q77" s="44"/>
      <c r="R77" s="38"/>
      <c r="S77" s="35"/>
      <c r="T77" s="43"/>
      <c r="U77" s="43"/>
      <c r="V77" s="43"/>
      <c r="W77" s="44"/>
      <c r="Y77" s="35"/>
      <c r="Z77" s="43"/>
      <c r="AA77" s="43"/>
      <c r="AB77" s="43"/>
      <c r="AC77" s="44"/>
      <c r="AE77" s="35"/>
      <c r="AF77" s="43"/>
      <c r="AG77" s="36"/>
      <c r="AH77" s="43"/>
      <c r="AI77" s="44"/>
      <c r="AK77" s="35"/>
      <c r="AL77" s="43"/>
      <c r="AM77" s="43"/>
      <c r="AN77" s="43"/>
      <c r="AO77" s="44"/>
      <c r="AP77" s="40"/>
      <c r="AQ77" s="35"/>
      <c r="AR77" s="43"/>
      <c r="AS77" s="45"/>
      <c r="AT77" s="43"/>
      <c r="AU77" s="45"/>
      <c r="AW77" s="40"/>
      <c r="AX77" s="35"/>
      <c r="AY77" s="43"/>
      <c r="AZ77" s="43"/>
      <c r="BA77" s="43"/>
      <c r="BB77" s="44"/>
    </row>
    <row r="78" spans="1:54" x14ac:dyDescent="0.35">
      <c r="A78" s="35"/>
      <c r="B78" s="43"/>
      <c r="C78" s="43"/>
      <c r="D78" s="43"/>
      <c r="E78" s="44"/>
      <c r="G78" s="35"/>
      <c r="H78" s="43"/>
      <c r="I78" s="43"/>
      <c r="J78" s="43"/>
      <c r="K78" s="44"/>
      <c r="L78" s="40"/>
      <c r="M78" s="35"/>
      <c r="N78" s="43"/>
      <c r="O78" s="43"/>
      <c r="P78" s="43"/>
      <c r="Q78" s="44"/>
      <c r="R78" s="38"/>
      <c r="S78" s="35"/>
      <c r="T78" s="43"/>
      <c r="U78" s="43"/>
      <c r="V78" s="43"/>
      <c r="W78" s="44"/>
      <c r="Y78" s="35"/>
      <c r="Z78" s="43"/>
      <c r="AA78" s="43"/>
      <c r="AB78" s="43"/>
      <c r="AC78" s="44"/>
      <c r="AE78" s="35"/>
      <c r="AF78" s="43"/>
      <c r="AG78" s="36"/>
      <c r="AH78" s="43"/>
      <c r="AI78" s="44"/>
      <c r="AK78" s="35"/>
      <c r="AL78" s="43"/>
      <c r="AM78" s="43"/>
      <c r="AN78" s="43"/>
      <c r="AO78" s="44"/>
      <c r="AP78" s="40"/>
      <c r="AQ78" s="35"/>
      <c r="AR78" s="43"/>
      <c r="AS78" s="45"/>
      <c r="AT78" s="43"/>
      <c r="AU78" s="45"/>
      <c r="AW78" s="40"/>
      <c r="AX78" s="35"/>
      <c r="AY78" s="43"/>
      <c r="AZ78" s="43"/>
      <c r="BA78" s="43"/>
      <c r="BB78" s="44"/>
    </row>
    <row r="79" spans="1:54" x14ac:dyDescent="0.35">
      <c r="A79" s="35"/>
      <c r="B79" s="43"/>
      <c r="C79" s="43"/>
      <c r="D79" s="43"/>
      <c r="E79" s="44"/>
      <c r="G79" s="35"/>
      <c r="H79" s="43"/>
      <c r="I79" s="43"/>
      <c r="J79" s="43"/>
      <c r="K79" s="44"/>
      <c r="L79" s="40"/>
      <c r="M79" s="35"/>
      <c r="N79" s="43"/>
      <c r="O79" s="43"/>
      <c r="P79" s="43"/>
      <c r="Q79" s="44"/>
      <c r="R79" s="38"/>
      <c r="S79" s="35"/>
      <c r="T79" s="43"/>
      <c r="U79" s="43"/>
      <c r="V79" s="43"/>
      <c r="W79" s="44"/>
      <c r="Y79" s="35"/>
      <c r="Z79" s="43"/>
      <c r="AA79" s="43"/>
      <c r="AB79" s="43"/>
      <c r="AC79" s="44"/>
      <c r="AE79" s="35"/>
      <c r="AF79" s="43"/>
      <c r="AG79" s="36"/>
      <c r="AH79" s="43"/>
      <c r="AI79" s="44"/>
      <c r="AK79" s="35"/>
      <c r="AL79" s="43"/>
      <c r="AM79" s="43"/>
      <c r="AN79" s="43"/>
      <c r="AO79" s="44"/>
      <c r="AP79" s="40"/>
      <c r="AQ79" s="35"/>
      <c r="AR79" s="43"/>
      <c r="AS79" s="45"/>
      <c r="AT79" s="43"/>
      <c r="AU79" s="45"/>
      <c r="AW79" s="40"/>
      <c r="AX79" s="35"/>
      <c r="AY79" s="43"/>
      <c r="AZ79" s="43"/>
      <c r="BA79" s="43"/>
      <c r="BB79" s="44"/>
    </row>
    <row r="80" spans="1:54" x14ac:dyDescent="0.35">
      <c r="A80" s="35"/>
      <c r="B80" s="43"/>
      <c r="C80" s="43"/>
      <c r="D80" s="43"/>
      <c r="E80" s="44"/>
      <c r="G80" s="35"/>
      <c r="H80" s="43"/>
      <c r="I80" s="43"/>
      <c r="J80" s="43"/>
      <c r="K80" s="44"/>
      <c r="L80" s="40"/>
      <c r="M80" s="35"/>
      <c r="N80" s="43"/>
      <c r="O80" s="43"/>
      <c r="P80" s="43"/>
      <c r="Q80" s="44"/>
      <c r="R80" s="38"/>
      <c r="S80" s="35"/>
      <c r="T80" s="43"/>
      <c r="U80" s="43"/>
      <c r="V80" s="43"/>
      <c r="W80" s="44"/>
      <c r="Y80" s="35"/>
      <c r="Z80" s="43"/>
      <c r="AA80" s="43"/>
      <c r="AB80" s="43"/>
      <c r="AC80" s="44"/>
      <c r="AE80" s="35"/>
      <c r="AF80" s="43"/>
      <c r="AG80" s="36"/>
      <c r="AH80" s="43"/>
      <c r="AI80" s="44"/>
      <c r="AK80" s="35"/>
      <c r="AL80" s="43"/>
      <c r="AM80" s="43"/>
      <c r="AN80" s="43"/>
      <c r="AO80" s="44"/>
      <c r="AP80" s="40"/>
      <c r="AQ80" s="35"/>
      <c r="AR80" s="43"/>
      <c r="AS80" s="45"/>
      <c r="AT80" s="43"/>
      <c r="AU80" s="45"/>
      <c r="AW80" s="40"/>
      <c r="AX80" s="35"/>
      <c r="AY80" s="43"/>
      <c r="AZ80" s="43"/>
      <c r="BA80" s="43"/>
      <c r="BB80" s="44"/>
    </row>
    <row r="81" spans="1:54" x14ac:dyDescent="0.35">
      <c r="A81" s="35"/>
      <c r="B81" s="43"/>
      <c r="C81" s="43"/>
      <c r="D81" s="43"/>
      <c r="E81" s="44"/>
      <c r="G81" s="35"/>
      <c r="H81" s="43"/>
      <c r="I81" s="43"/>
      <c r="J81" s="43"/>
      <c r="K81" s="44"/>
      <c r="L81" s="40"/>
      <c r="M81" s="35"/>
      <c r="N81" s="43"/>
      <c r="O81" s="43"/>
      <c r="P81" s="43"/>
      <c r="Q81" s="44"/>
      <c r="R81" s="38"/>
      <c r="S81" s="35"/>
      <c r="T81" s="43"/>
      <c r="U81" s="43"/>
      <c r="V81" s="43"/>
      <c r="W81" s="44"/>
      <c r="Y81" s="35"/>
      <c r="Z81" s="43"/>
      <c r="AA81" s="43"/>
      <c r="AB81" s="43"/>
      <c r="AC81" s="44"/>
      <c r="AE81" s="35"/>
      <c r="AF81" s="43"/>
      <c r="AG81" s="36"/>
      <c r="AH81" s="43"/>
      <c r="AI81" s="44"/>
      <c r="AK81" s="35"/>
      <c r="AL81" s="43"/>
      <c r="AM81" s="43"/>
      <c r="AN81" s="43"/>
      <c r="AO81" s="44"/>
      <c r="AP81" s="40"/>
      <c r="AQ81" s="35"/>
      <c r="AR81" s="43"/>
      <c r="AS81" s="45"/>
      <c r="AT81" s="43"/>
      <c r="AU81" s="45"/>
      <c r="AW81" s="40"/>
      <c r="AX81" s="35"/>
      <c r="AY81" s="43"/>
      <c r="AZ81" s="43"/>
      <c r="BA81" s="43"/>
      <c r="BB81" s="44"/>
    </row>
    <row r="82" spans="1:54" x14ac:dyDescent="0.35">
      <c r="A82" s="35"/>
      <c r="B82" s="43"/>
      <c r="C82" s="43"/>
      <c r="D82" s="43"/>
      <c r="E82" s="44"/>
      <c r="G82" s="35"/>
      <c r="H82" s="43"/>
      <c r="I82" s="43"/>
      <c r="J82" s="43"/>
      <c r="K82" s="44"/>
      <c r="L82" s="40"/>
      <c r="M82" s="35"/>
      <c r="N82" s="43"/>
      <c r="O82" s="43"/>
      <c r="P82" s="43"/>
      <c r="Q82" s="44"/>
      <c r="R82" s="38"/>
      <c r="S82" s="35"/>
      <c r="T82" s="43"/>
      <c r="U82" s="43"/>
      <c r="V82" s="43"/>
      <c r="W82" s="44"/>
      <c r="Y82" s="35"/>
      <c r="Z82" s="43"/>
      <c r="AA82" s="43"/>
      <c r="AB82" s="43"/>
      <c r="AC82" s="44"/>
      <c r="AE82" s="35"/>
      <c r="AF82" s="43"/>
      <c r="AG82" s="36"/>
      <c r="AH82" s="43"/>
      <c r="AI82" s="44"/>
      <c r="AK82" s="35"/>
      <c r="AL82" s="43"/>
      <c r="AM82" s="43"/>
      <c r="AN82" s="43"/>
      <c r="AO82" s="44"/>
      <c r="AP82" s="40"/>
      <c r="AQ82" s="35"/>
      <c r="AR82" s="43"/>
      <c r="AS82" s="45"/>
      <c r="AT82" s="43"/>
      <c r="AU82" s="45"/>
      <c r="AW82" s="40"/>
      <c r="AX82" s="35"/>
      <c r="AY82" s="43"/>
      <c r="AZ82" s="43"/>
      <c r="BA82" s="43"/>
      <c r="BB82" s="44"/>
    </row>
    <row r="83" spans="1:54" x14ac:dyDescent="0.35">
      <c r="A83" s="35"/>
      <c r="B83" s="43"/>
      <c r="C83" s="43"/>
      <c r="D83" s="43"/>
      <c r="E83" s="44"/>
      <c r="G83" s="35"/>
      <c r="H83" s="43"/>
      <c r="I83" s="43"/>
      <c r="J83" s="43"/>
      <c r="K83" s="44"/>
      <c r="L83" s="40"/>
      <c r="M83" s="35"/>
      <c r="N83" s="43"/>
      <c r="O83" s="43"/>
      <c r="P83" s="43"/>
      <c r="Q83" s="44"/>
      <c r="R83" s="38"/>
      <c r="S83" s="35"/>
      <c r="T83" s="43"/>
      <c r="U83" s="43"/>
      <c r="V83" s="43"/>
      <c r="W83" s="44"/>
      <c r="Y83" s="35"/>
      <c r="Z83" s="43"/>
      <c r="AA83" s="43"/>
      <c r="AB83" s="43"/>
      <c r="AC83" s="44"/>
      <c r="AE83" s="35"/>
      <c r="AF83" s="43"/>
      <c r="AG83" s="43"/>
      <c r="AH83" s="43"/>
      <c r="AI83" s="44"/>
      <c r="AK83" s="35"/>
      <c r="AL83" s="43"/>
      <c r="AM83" s="43"/>
      <c r="AN83" s="43"/>
      <c r="AO83" s="44"/>
      <c r="AP83" s="40"/>
      <c r="AQ83" s="35"/>
      <c r="AR83" s="43"/>
      <c r="AS83" s="45"/>
      <c r="AT83" s="43"/>
      <c r="AU83" s="45"/>
      <c r="AW83" s="40"/>
      <c r="AX83" s="35"/>
      <c r="AY83" s="43"/>
      <c r="AZ83" s="43"/>
      <c r="BA83" s="43"/>
      <c r="BB83" s="44"/>
    </row>
    <row r="84" spans="1:54" x14ac:dyDescent="0.35">
      <c r="A84" s="35"/>
      <c r="B84" s="43"/>
      <c r="C84" s="43"/>
      <c r="D84" s="43"/>
      <c r="E84" s="44"/>
      <c r="G84" s="35"/>
      <c r="H84" s="43"/>
      <c r="I84" s="43"/>
      <c r="J84" s="43"/>
      <c r="K84" s="44"/>
      <c r="L84" s="40"/>
      <c r="M84" s="35"/>
      <c r="N84" s="43"/>
      <c r="O84" s="43"/>
      <c r="P84" s="43"/>
      <c r="Q84" s="44"/>
      <c r="R84" s="38"/>
      <c r="S84" s="35"/>
      <c r="T84" s="43"/>
      <c r="U84" s="43"/>
      <c r="V84" s="43"/>
      <c r="W84" s="44"/>
      <c r="Y84" s="35"/>
      <c r="Z84" s="43"/>
      <c r="AA84" s="43"/>
      <c r="AB84" s="43"/>
      <c r="AC84" s="44"/>
      <c r="AE84" s="35"/>
      <c r="AF84" s="43"/>
      <c r="AG84" s="43"/>
      <c r="AH84" s="43"/>
      <c r="AI84" s="44"/>
      <c r="AK84" s="35"/>
      <c r="AL84" s="43"/>
      <c r="AM84" s="43"/>
      <c r="AN84" s="43"/>
      <c r="AO84" s="44"/>
      <c r="AP84" s="40"/>
      <c r="AQ84" s="35"/>
      <c r="AR84" s="43"/>
      <c r="AS84" s="45"/>
      <c r="AT84" s="43"/>
      <c r="AU84" s="45"/>
      <c r="AW84" s="40"/>
      <c r="AX84" s="35"/>
      <c r="AY84" s="43"/>
      <c r="AZ84" s="43"/>
      <c r="BA84" s="43"/>
      <c r="BB84" s="44"/>
    </row>
    <row r="85" spans="1:54" x14ac:dyDescent="0.35">
      <c r="A85" s="35"/>
      <c r="B85" s="43"/>
      <c r="C85" s="43"/>
      <c r="D85" s="43"/>
      <c r="E85" s="44"/>
      <c r="G85" s="35"/>
      <c r="H85" s="43"/>
      <c r="I85" s="43"/>
      <c r="J85" s="43"/>
      <c r="K85" s="44"/>
      <c r="L85" s="40"/>
      <c r="M85" s="35"/>
      <c r="N85" s="43"/>
      <c r="O85" s="43"/>
      <c r="P85" s="43"/>
      <c r="Q85" s="44"/>
      <c r="R85" s="38"/>
      <c r="S85" s="35"/>
      <c r="T85" s="43"/>
      <c r="U85" s="43"/>
      <c r="V85" s="43"/>
      <c r="W85" s="44"/>
      <c r="Y85" s="35"/>
      <c r="Z85" s="43"/>
      <c r="AA85" s="43"/>
      <c r="AB85" s="43"/>
      <c r="AC85" s="44"/>
      <c r="AE85" s="35"/>
      <c r="AF85" s="43"/>
      <c r="AG85" s="43"/>
      <c r="AH85" s="43"/>
      <c r="AI85" s="44"/>
      <c r="AK85" s="35"/>
      <c r="AL85" s="43"/>
      <c r="AM85" s="43"/>
      <c r="AN85" s="43"/>
      <c r="AO85" s="44"/>
      <c r="AP85" s="40"/>
      <c r="AQ85" s="35"/>
      <c r="AR85" s="43"/>
      <c r="AS85" s="45"/>
      <c r="AT85" s="43"/>
      <c r="AU85" s="45"/>
      <c r="AW85" s="40"/>
      <c r="AX85" s="35"/>
      <c r="AY85" s="43"/>
      <c r="AZ85" s="43"/>
      <c r="BA85" s="43"/>
      <c r="BB85" s="44"/>
    </row>
    <row r="86" spans="1:54" x14ac:dyDescent="0.35">
      <c r="A86" s="35"/>
      <c r="B86" s="43"/>
      <c r="C86" s="43"/>
      <c r="D86" s="43"/>
      <c r="E86" s="44"/>
      <c r="G86" s="35"/>
      <c r="H86" s="43"/>
      <c r="I86" s="43"/>
      <c r="J86" s="43"/>
      <c r="K86" s="44"/>
      <c r="L86" s="40"/>
      <c r="M86" s="35"/>
      <c r="N86" s="43"/>
      <c r="O86" s="43"/>
      <c r="P86" s="43"/>
      <c r="Q86" s="44"/>
      <c r="R86" s="38"/>
      <c r="S86" s="35"/>
      <c r="T86" s="43"/>
      <c r="U86" s="43"/>
      <c r="V86" s="43"/>
      <c r="W86" s="44"/>
      <c r="Y86" s="35"/>
      <c r="Z86" s="43"/>
      <c r="AA86" s="43"/>
      <c r="AB86" s="43"/>
      <c r="AC86" s="44"/>
      <c r="AE86" s="35"/>
      <c r="AF86" s="43"/>
      <c r="AG86" s="43"/>
      <c r="AH86" s="43"/>
      <c r="AI86" s="44"/>
      <c r="AK86" s="35"/>
      <c r="AL86" s="43"/>
      <c r="AM86" s="43"/>
      <c r="AN86" s="43"/>
      <c r="AO86" s="44"/>
      <c r="AP86" s="40"/>
      <c r="AQ86" s="35"/>
      <c r="AR86" s="43"/>
      <c r="AS86" s="45"/>
      <c r="AT86" s="43"/>
      <c r="AU86" s="45"/>
      <c r="AW86" s="40"/>
      <c r="AX86" s="35"/>
      <c r="AY86" s="43"/>
      <c r="AZ86" s="43"/>
      <c r="BA86" s="43"/>
      <c r="BB86" s="44"/>
    </row>
    <row r="87" spans="1:54" x14ac:dyDescent="0.35">
      <c r="A87" s="35"/>
      <c r="B87" s="43"/>
      <c r="C87" s="43"/>
      <c r="D87" s="43"/>
      <c r="E87" s="44"/>
      <c r="G87" s="35"/>
      <c r="H87" s="43"/>
      <c r="I87" s="43"/>
      <c r="J87" s="43"/>
      <c r="K87" s="44"/>
      <c r="L87" s="40"/>
      <c r="M87" s="35"/>
      <c r="N87" s="43"/>
      <c r="O87" s="43"/>
      <c r="P87" s="43"/>
      <c r="Q87" s="44"/>
      <c r="R87" s="38"/>
      <c r="S87" s="35"/>
      <c r="T87" s="43"/>
      <c r="U87" s="43"/>
      <c r="V87" s="43"/>
      <c r="W87" s="44"/>
      <c r="Y87" s="35"/>
      <c r="Z87" s="43"/>
      <c r="AA87" s="43"/>
      <c r="AB87" s="43"/>
      <c r="AC87" s="44"/>
      <c r="AE87" s="35"/>
      <c r="AF87" s="43"/>
      <c r="AG87" s="43"/>
      <c r="AH87" s="43"/>
      <c r="AI87" s="44"/>
      <c r="AK87" s="35"/>
      <c r="AL87" s="43"/>
      <c r="AM87" s="43"/>
      <c r="AN87" s="43"/>
      <c r="AO87" s="44"/>
      <c r="AP87" s="40"/>
      <c r="AQ87" s="35"/>
      <c r="AR87" s="43"/>
      <c r="AS87" s="45"/>
      <c r="AT87" s="43"/>
      <c r="AU87" s="45"/>
      <c r="AW87" s="40"/>
      <c r="AX87" s="35"/>
      <c r="AY87" s="43"/>
      <c r="AZ87" s="43"/>
      <c r="BA87" s="43"/>
      <c r="BB87" s="44"/>
    </row>
    <row r="88" spans="1:54" x14ac:dyDescent="0.35">
      <c r="A88" s="35"/>
      <c r="B88" s="43"/>
      <c r="C88" s="43"/>
      <c r="D88" s="43"/>
      <c r="E88" s="44"/>
      <c r="G88" s="35"/>
      <c r="H88" s="43"/>
      <c r="I88" s="43"/>
      <c r="J88" s="43"/>
      <c r="K88" s="44"/>
      <c r="L88" s="40"/>
      <c r="M88" s="35"/>
      <c r="N88" s="43"/>
      <c r="O88" s="43"/>
      <c r="P88" s="43"/>
      <c r="Q88" s="44"/>
      <c r="R88" s="38"/>
      <c r="S88" s="35"/>
      <c r="T88" s="43"/>
      <c r="U88" s="43"/>
      <c r="V88" s="43"/>
      <c r="W88" s="44"/>
      <c r="Y88" s="35"/>
      <c r="Z88" s="43"/>
      <c r="AA88" s="43"/>
      <c r="AB88" s="43"/>
      <c r="AC88" s="44"/>
      <c r="AE88" s="35"/>
      <c r="AF88" s="43"/>
      <c r="AG88" s="43"/>
      <c r="AH88" s="43"/>
      <c r="AI88" s="44"/>
      <c r="AK88" s="35"/>
      <c r="AL88" s="43"/>
      <c r="AM88" s="43"/>
      <c r="AN88" s="43"/>
      <c r="AO88" s="44"/>
      <c r="AP88" s="40"/>
      <c r="AQ88" s="35"/>
      <c r="AR88" s="43"/>
      <c r="AS88" s="45"/>
      <c r="AT88" s="43"/>
      <c r="AU88" s="45"/>
      <c r="AW88" s="40"/>
      <c r="AX88" s="35"/>
      <c r="AY88" s="43"/>
      <c r="AZ88" s="43"/>
      <c r="BA88" s="43"/>
      <c r="BB88" s="44"/>
    </row>
    <row r="89" spans="1:54" x14ac:dyDescent="0.35">
      <c r="A89" s="35"/>
      <c r="B89" s="43"/>
      <c r="C89" s="43"/>
      <c r="D89" s="43"/>
      <c r="E89" s="44"/>
      <c r="G89" s="35"/>
      <c r="H89" s="43"/>
      <c r="I89" s="43"/>
      <c r="J89" s="43"/>
      <c r="K89" s="44"/>
      <c r="L89" s="40"/>
      <c r="M89" s="35"/>
      <c r="N89" s="43"/>
      <c r="O89" s="43"/>
      <c r="P89" s="43"/>
      <c r="Q89" s="44"/>
      <c r="R89" s="38"/>
      <c r="S89" s="35"/>
      <c r="T89" s="43"/>
      <c r="U89" s="43"/>
      <c r="V89" s="43"/>
      <c r="W89" s="44"/>
      <c r="Y89" s="35"/>
      <c r="Z89" s="43"/>
      <c r="AA89" s="43"/>
      <c r="AB89" s="43"/>
      <c r="AC89" s="44"/>
      <c r="AE89" s="35"/>
      <c r="AF89" s="43"/>
      <c r="AG89" s="43"/>
      <c r="AH89" s="43"/>
      <c r="AI89" s="44"/>
      <c r="AK89" s="35"/>
      <c r="AL89" s="43"/>
      <c r="AM89" s="43"/>
      <c r="AN89" s="43"/>
      <c r="AO89" s="44"/>
      <c r="AP89" s="40"/>
      <c r="AQ89" s="35"/>
      <c r="AR89" s="43"/>
      <c r="AS89" s="45"/>
      <c r="AT89" s="43"/>
      <c r="AU89" s="45"/>
      <c r="AW89" s="40"/>
      <c r="AX89" s="35"/>
      <c r="AY89" s="43"/>
      <c r="AZ89" s="43"/>
      <c r="BA89" s="43"/>
      <c r="BB89" s="44"/>
    </row>
    <row r="90" spans="1:54" x14ac:dyDescent="0.35">
      <c r="A90" s="35"/>
      <c r="B90" s="43"/>
      <c r="C90" s="43"/>
      <c r="D90" s="43"/>
      <c r="E90" s="44"/>
      <c r="G90" s="35"/>
      <c r="H90" s="43"/>
      <c r="I90" s="43"/>
      <c r="J90" s="43"/>
      <c r="K90" s="44"/>
      <c r="L90" s="40"/>
      <c r="M90" s="35"/>
      <c r="N90" s="43"/>
      <c r="O90" s="43"/>
      <c r="P90" s="43"/>
      <c r="Q90" s="44"/>
      <c r="R90" s="38"/>
      <c r="S90" s="35"/>
      <c r="T90" s="43"/>
      <c r="U90" s="43"/>
      <c r="V90" s="43"/>
      <c r="W90" s="44"/>
      <c r="Y90" s="35"/>
      <c r="Z90" s="43"/>
      <c r="AA90" s="43"/>
      <c r="AB90" s="43"/>
      <c r="AC90" s="44"/>
      <c r="AE90" s="35"/>
      <c r="AF90" s="43"/>
      <c r="AG90" s="43"/>
      <c r="AH90" s="43"/>
      <c r="AI90" s="44"/>
      <c r="AK90" s="35"/>
      <c r="AL90" s="43"/>
      <c r="AM90" s="43"/>
      <c r="AN90" s="43"/>
      <c r="AO90" s="44"/>
      <c r="AP90" s="40"/>
      <c r="AQ90" s="35"/>
      <c r="AR90" s="43"/>
      <c r="AS90" s="45"/>
      <c r="AT90" s="43"/>
      <c r="AU90" s="45"/>
      <c r="AW90" s="40"/>
      <c r="AX90" s="35"/>
      <c r="AY90" s="43"/>
      <c r="AZ90" s="43"/>
      <c r="BA90" s="43"/>
      <c r="BB90" s="44"/>
    </row>
    <row r="91" spans="1:54" x14ac:dyDescent="0.35">
      <c r="A91" s="35"/>
      <c r="B91" s="43"/>
      <c r="C91" s="43"/>
      <c r="D91" s="43"/>
      <c r="E91" s="44"/>
      <c r="G91" s="35"/>
      <c r="H91" s="43"/>
      <c r="I91" s="43"/>
      <c r="J91" s="43"/>
      <c r="K91" s="44"/>
      <c r="L91" s="40"/>
      <c r="M91" s="35"/>
      <c r="N91" s="43"/>
      <c r="O91" s="43"/>
      <c r="P91" s="43"/>
      <c r="Q91" s="44"/>
      <c r="R91" s="38"/>
      <c r="S91" s="35"/>
      <c r="T91" s="43"/>
      <c r="U91" s="43"/>
      <c r="V91" s="43"/>
      <c r="W91" s="44"/>
      <c r="Y91" s="35"/>
      <c r="Z91" s="43"/>
      <c r="AA91" s="43"/>
      <c r="AB91" s="43"/>
      <c r="AC91" s="44"/>
      <c r="AE91" s="35"/>
      <c r="AF91" s="43"/>
      <c r="AG91" s="43"/>
      <c r="AH91" s="43"/>
      <c r="AI91" s="44"/>
      <c r="AK91" s="35"/>
      <c r="AL91" s="43"/>
      <c r="AM91" s="43"/>
      <c r="AN91" s="43"/>
      <c r="AO91" s="44"/>
      <c r="AP91" s="40"/>
      <c r="AQ91" s="35"/>
      <c r="AR91" s="43"/>
      <c r="AS91" s="45"/>
      <c r="AT91" s="43"/>
      <c r="AU91" s="45"/>
      <c r="AW91" s="40"/>
      <c r="AX91" s="35"/>
      <c r="AY91" s="43"/>
      <c r="AZ91" s="43"/>
      <c r="BA91" s="43"/>
      <c r="BB91" s="44"/>
    </row>
    <row r="92" spans="1:54" x14ac:dyDescent="0.35">
      <c r="A92" s="35"/>
      <c r="B92" s="43"/>
      <c r="C92" s="43"/>
      <c r="D92" s="43"/>
      <c r="E92" s="44"/>
      <c r="G92" s="35"/>
      <c r="H92" s="43"/>
      <c r="I92" s="43"/>
      <c r="J92" s="43"/>
      <c r="K92" s="44"/>
      <c r="L92" s="40"/>
      <c r="M92" s="35"/>
      <c r="N92" s="43"/>
      <c r="O92" s="43"/>
      <c r="P92" s="43"/>
      <c r="Q92" s="44"/>
      <c r="R92" s="38"/>
      <c r="S92" s="35"/>
      <c r="T92" s="43"/>
      <c r="U92" s="43"/>
      <c r="V92" s="43"/>
      <c r="W92" s="44"/>
      <c r="Y92" s="35"/>
      <c r="Z92" s="43"/>
      <c r="AA92" s="43"/>
      <c r="AB92" s="43"/>
      <c r="AC92" s="44"/>
      <c r="AE92" s="35"/>
      <c r="AF92" s="43"/>
      <c r="AG92" s="43"/>
      <c r="AH92" s="43"/>
      <c r="AI92" s="44"/>
      <c r="AK92" s="35"/>
      <c r="AL92" s="43"/>
      <c r="AM92" s="43"/>
      <c r="AN92" s="43"/>
      <c r="AO92" s="44"/>
      <c r="AP92" s="40"/>
      <c r="AQ92" s="35"/>
      <c r="AR92" s="43"/>
      <c r="AS92" s="45"/>
      <c r="AT92" s="43"/>
      <c r="AU92" s="45"/>
      <c r="AW92" s="40"/>
      <c r="AX92" s="35"/>
      <c r="AY92" s="43"/>
      <c r="AZ92" s="43"/>
      <c r="BA92" s="43"/>
      <c r="BB92" s="44"/>
    </row>
    <row r="93" spans="1:54" x14ac:dyDescent="0.35">
      <c r="A93" s="35"/>
      <c r="B93" s="43"/>
      <c r="C93" s="43"/>
      <c r="D93" s="43"/>
      <c r="E93" s="44"/>
      <c r="G93" s="35"/>
      <c r="H93" s="43"/>
      <c r="I93" s="43"/>
      <c r="J93" s="43"/>
      <c r="K93" s="44"/>
      <c r="L93" s="40"/>
      <c r="M93" s="35"/>
      <c r="N93" s="43"/>
      <c r="O93" s="43"/>
      <c r="P93" s="43"/>
      <c r="Q93" s="44"/>
      <c r="R93" s="38"/>
      <c r="S93" s="35"/>
      <c r="T93" s="43"/>
      <c r="U93" s="43"/>
      <c r="V93" s="43"/>
      <c r="W93" s="44"/>
      <c r="Y93" s="35"/>
      <c r="Z93" s="43"/>
      <c r="AA93" s="43"/>
      <c r="AB93" s="43"/>
      <c r="AC93" s="44"/>
      <c r="AE93" s="35"/>
      <c r="AF93" s="43"/>
      <c r="AG93" s="43"/>
      <c r="AH93" s="43"/>
      <c r="AI93" s="44"/>
      <c r="AK93" s="35"/>
      <c r="AL93" s="43"/>
      <c r="AM93" s="43"/>
      <c r="AN93" s="43"/>
      <c r="AO93" s="44"/>
      <c r="AP93" s="40"/>
      <c r="AQ93" s="35"/>
      <c r="AR93" s="43"/>
      <c r="AS93" s="45"/>
      <c r="AT93" s="43"/>
      <c r="AU93" s="45"/>
      <c r="AW93" s="40"/>
      <c r="AX93" s="35"/>
      <c r="AY93" s="43"/>
      <c r="AZ93" s="43"/>
      <c r="BA93" s="43"/>
      <c r="BB93" s="44"/>
    </row>
    <row r="94" spans="1:54" x14ac:dyDescent="0.35">
      <c r="A94" s="35"/>
      <c r="B94" s="43"/>
      <c r="C94" s="43"/>
      <c r="D94" s="43"/>
      <c r="E94" s="44"/>
      <c r="G94" s="35"/>
      <c r="H94" s="43"/>
      <c r="I94" s="43"/>
      <c r="J94" s="43"/>
      <c r="K94" s="44"/>
      <c r="L94" s="40"/>
      <c r="M94" s="35"/>
      <c r="N94" s="43"/>
      <c r="O94" s="43"/>
      <c r="P94" s="43"/>
      <c r="Q94" s="44"/>
      <c r="R94" s="38"/>
      <c r="S94" s="35"/>
      <c r="T94" s="43"/>
      <c r="U94" s="43"/>
      <c r="V94" s="43"/>
      <c r="W94" s="44"/>
      <c r="Y94" s="35"/>
      <c r="Z94" s="43"/>
      <c r="AA94" s="43"/>
      <c r="AB94" s="43"/>
      <c r="AC94" s="44"/>
      <c r="AE94" s="35"/>
      <c r="AF94" s="43"/>
      <c r="AG94" s="43"/>
      <c r="AH94" s="43"/>
      <c r="AI94" s="44"/>
      <c r="AK94" s="35"/>
      <c r="AL94" s="43"/>
      <c r="AM94" s="43"/>
      <c r="AN94" s="43"/>
      <c r="AO94" s="44"/>
      <c r="AP94" s="40"/>
      <c r="AQ94" s="35"/>
      <c r="AR94" s="43"/>
      <c r="AS94" s="45"/>
      <c r="AT94" s="43"/>
      <c r="AU94" s="45"/>
      <c r="AW94" s="40"/>
      <c r="AX94" s="35"/>
      <c r="AY94" s="43"/>
      <c r="AZ94" s="43"/>
      <c r="BA94" s="43"/>
      <c r="BB94" s="44"/>
    </row>
    <row r="95" spans="1:54" x14ac:dyDescent="0.35">
      <c r="A95" s="35"/>
      <c r="B95" s="43"/>
      <c r="C95" s="43"/>
      <c r="D95" s="43"/>
      <c r="E95" s="44"/>
      <c r="G95" s="35"/>
      <c r="H95" s="43"/>
      <c r="I95" s="43"/>
      <c r="J95" s="43"/>
      <c r="K95" s="44"/>
      <c r="L95" s="40"/>
      <c r="M95" s="35"/>
      <c r="N95" s="43"/>
      <c r="O95" s="43"/>
      <c r="P95" s="43"/>
      <c r="Q95" s="44"/>
      <c r="R95" s="38"/>
      <c r="S95" s="35"/>
      <c r="T95" s="43"/>
      <c r="U95" s="43"/>
      <c r="V95" s="43"/>
      <c r="W95" s="44"/>
      <c r="Y95" s="35"/>
      <c r="Z95" s="43"/>
      <c r="AA95" s="43"/>
      <c r="AB95" s="43"/>
      <c r="AC95" s="44"/>
      <c r="AE95" s="35"/>
      <c r="AF95" s="43"/>
      <c r="AG95" s="43"/>
      <c r="AH95" s="43"/>
      <c r="AI95" s="44"/>
      <c r="AK95" s="35"/>
      <c r="AL95" s="43"/>
      <c r="AM95" s="43"/>
      <c r="AN95" s="43"/>
      <c r="AO95" s="44"/>
      <c r="AP95" s="40"/>
      <c r="AQ95" s="35"/>
      <c r="AR95" s="43"/>
      <c r="AS95" s="45"/>
      <c r="AT95" s="43"/>
      <c r="AU95" s="45"/>
      <c r="AW95" s="40"/>
      <c r="AX95" s="35"/>
      <c r="AY95" s="43"/>
      <c r="AZ95" s="43"/>
      <c r="BA95" s="43"/>
      <c r="BB95" s="44"/>
    </row>
    <row r="96" spans="1:54" x14ac:dyDescent="0.35">
      <c r="A96" s="35"/>
      <c r="B96" s="43"/>
      <c r="C96" s="43"/>
      <c r="D96" s="43"/>
      <c r="E96" s="44"/>
      <c r="G96" s="35"/>
      <c r="H96" s="43"/>
      <c r="I96" s="43"/>
      <c r="J96" s="43"/>
      <c r="K96" s="44"/>
      <c r="L96" s="40"/>
      <c r="M96" s="35"/>
      <c r="N96" s="43"/>
      <c r="O96" s="43"/>
      <c r="P96" s="43"/>
      <c r="Q96" s="44"/>
      <c r="R96" s="38"/>
      <c r="S96" s="35"/>
      <c r="T96" s="43"/>
      <c r="U96" s="43"/>
      <c r="V96" s="43"/>
      <c r="W96" s="44"/>
      <c r="Y96" s="35"/>
      <c r="Z96" s="43"/>
      <c r="AA96" s="43"/>
      <c r="AB96" s="43"/>
      <c r="AC96" s="44"/>
      <c r="AE96" s="35"/>
      <c r="AF96" s="43"/>
      <c r="AG96" s="43"/>
      <c r="AH96" s="43"/>
      <c r="AI96" s="44"/>
      <c r="AK96" s="35"/>
      <c r="AL96" s="43"/>
      <c r="AM96" s="43"/>
      <c r="AN96" s="43"/>
      <c r="AO96" s="44"/>
      <c r="AP96" s="40"/>
      <c r="AQ96" s="35"/>
      <c r="AR96" s="43"/>
      <c r="AS96" s="45"/>
      <c r="AT96" s="43"/>
      <c r="AU96" s="45"/>
      <c r="AW96" s="40"/>
      <c r="AX96" s="35"/>
      <c r="AY96" s="43"/>
      <c r="AZ96" s="43"/>
      <c r="BA96" s="43"/>
      <c r="BB96" s="44"/>
    </row>
    <row r="97" spans="1:54" x14ac:dyDescent="0.35">
      <c r="A97" s="35"/>
      <c r="B97" s="43"/>
      <c r="C97" s="43"/>
      <c r="D97" s="43"/>
      <c r="E97" s="44"/>
      <c r="G97" s="35"/>
      <c r="H97" s="43"/>
      <c r="I97" s="43"/>
      <c r="J97" s="43"/>
      <c r="K97" s="44"/>
      <c r="L97" s="40"/>
      <c r="M97" s="35"/>
      <c r="N97" s="43"/>
      <c r="O97" s="43"/>
      <c r="P97" s="43"/>
      <c r="Q97" s="44"/>
      <c r="R97" s="38"/>
      <c r="S97" s="35"/>
      <c r="T97" s="43"/>
      <c r="U97" s="43"/>
      <c r="V97" s="43"/>
      <c r="W97" s="44"/>
      <c r="Y97" s="35"/>
      <c r="Z97" s="43"/>
      <c r="AA97" s="43"/>
      <c r="AB97" s="43"/>
      <c r="AC97" s="44"/>
      <c r="AE97" s="35"/>
      <c r="AF97" s="43"/>
      <c r="AG97" s="43"/>
      <c r="AH97" s="43"/>
      <c r="AI97" s="44"/>
      <c r="AK97" s="35"/>
      <c r="AL97" s="43"/>
      <c r="AM97" s="43"/>
      <c r="AN97" s="43"/>
      <c r="AO97" s="44"/>
      <c r="AP97" s="40"/>
      <c r="AQ97" s="35"/>
      <c r="AR97" s="43"/>
      <c r="AS97" s="45"/>
      <c r="AT97" s="43"/>
      <c r="AU97" s="45"/>
      <c r="AW97" s="40"/>
      <c r="AX97" s="35"/>
      <c r="AY97" s="43"/>
      <c r="AZ97" s="43"/>
      <c r="BA97" s="43"/>
      <c r="BB97" s="44"/>
    </row>
    <row r="98" spans="1:54" x14ac:dyDescent="0.35">
      <c r="A98" s="35"/>
      <c r="B98" s="43"/>
      <c r="C98" s="43"/>
      <c r="D98" s="43"/>
      <c r="E98" s="44"/>
      <c r="G98" s="35"/>
      <c r="H98" s="43"/>
      <c r="I98" s="43"/>
      <c r="J98" s="43"/>
      <c r="K98" s="44"/>
      <c r="L98" s="40"/>
      <c r="M98" s="35"/>
      <c r="N98" s="43"/>
      <c r="O98" s="43"/>
      <c r="P98" s="43"/>
      <c r="Q98" s="44"/>
      <c r="R98" s="38"/>
      <c r="S98" s="35"/>
      <c r="T98" s="43"/>
      <c r="U98" s="43"/>
      <c r="V98" s="43"/>
      <c r="W98" s="44"/>
      <c r="Y98" s="35"/>
      <c r="Z98" s="43"/>
      <c r="AA98" s="43"/>
      <c r="AB98" s="43"/>
      <c r="AC98" s="44"/>
      <c r="AE98" s="35"/>
      <c r="AF98" s="43"/>
      <c r="AG98" s="43"/>
      <c r="AH98" s="43"/>
      <c r="AI98" s="44"/>
      <c r="AK98" s="35"/>
      <c r="AL98" s="43"/>
      <c r="AM98" s="43"/>
      <c r="AN98" s="43"/>
      <c r="AO98" s="44"/>
      <c r="AP98" s="40"/>
      <c r="AQ98" s="35"/>
      <c r="AR98" s="43"/>
      <c r="AS98" s="45"/>
      <c r="AT98" s="43"/>
      <c r="AU98" s="45"/>
      <c r="AW98" s="40"/>
      <c r="AX98" s="35"/>
      <c r="AY98" s="43"/>
      <c r="AZ98" s="43"/>
      <c r="BA98" s="43"/>
      <c r="BB98" s="44"/>
    </row>
    <row r="99" spans="1:54" x14ac:dyDescent="0.35">
      <c r="A99" s="35"/>
      <c r="B99" s="43"/>
      <c r="C99" s="43"/>
      <c r="D99" s="43"/>
      <c r="E99" s="44"/>
      <c r="G99" s="35"/>
      <c r="H99" s="43"/>
      <c r="I99" s="43"/>
      <c r="J99" s="43"/>
      <c r="K99" s="44"/>
      <c r="L99" s="40"/>
      <c r="M99" s="35"/>
      <c r="N99" s="43"/>
      <c r="O99" s="43"/>
      <c r="P99" s="43"/>
      <c r="Q99" s="44"/>
      <c r="R99" s="38"/>
      <c r="S99" s="35"/>
      <c r="T99" s="43"/>
      <c r="U99" s="43"/>
      <c r="V99" s="43"/>
      <c r="W99" s="44"/>
      <c r="Y99" s="35"/>
      <c r="Z99" s="43"/>
      <c r="AA99" s="43"/>
      <c r="AB99" s="43"/>
      <c r="AC99" s="44"/>
      <c r="AE99" s="35"/>
      <c r="AF99" s="43"/>
      <c r="AG99" s="43"/>
      <c r="AH99" s="43"/>
      <c r="AI99" s="44"/>
      <c r="AK99" s="35"/>
      <c r="AL99" s="43"/>
      <c r="AM99" s="43"/>
      <c r="AN99" s="43"/>
      <c r="AO99" s="44"/>
      <c r="AP99" s="40"/>
      <c r="AQ99" s="35"/>
      <c r="AR99" s="43"/>
      <c r="AS99" s="45"/>
      <c r="AT99" s="43"/>
      <c r="AU99" s="45"/>
      <c r="AW99" s="40"/>
      <c r="AX99" s="35"/>
      <c r="AY99" s="43"/>
      <c r="AZ99" s="43"/>
      <c r="BA99" s="43"/>
      <c r="BB99" s="44"/>
    </row>
    <row r="100" spans="1:54" x14ac:dyDescent="0.35">
      <c r="A100" s="35"/>
      <c r="B100" s="43"/>
      <c r="C100" s="43"/>
      <c r="D100" s="43"/>
      <c r="E100" s="44"/>
      <c r="G100" s="35"/>
      <c r="H100" s="43"/>
      <c r="I100" s="43"/>
      <c r="J100" s="43"/>
      <c r="K100" s="44"/>
      <c r="L100" s="40"/>
      <c r="M100" s="35"/>
      <c r="N100" s="43"/>
      <c r="O100" s="43"/>
      <c r="P100" s="43"/>
      <c r="Q100" s="44"/>
      <c r="R100" s="38"/>
      <c r="S100" s="35"/>
      <c r="T100" s="43"/>
      <c r="U100" s="43"/>
      <c r="V100" s="43"/>
      <c r="W100" s="44"/>
      <c r="Y100" s="35"/>
      <c r="Z100" s="43"/>
      <c r="AA100" s="43"/>
      <c r="AB100" s="43"/>
      <c r="AC100" s="44"/>
      <c r="AE100" s="35"/>
      <c r="AF100" s="43"/>
      <c r="AG100" s="43"/>
      <c r="AH100" s="43"/>
      <c r="AI100" s="44"/>
      <c r="AK100" s="35"/>
      <c r="AL100" s="43"/>
      <c r="AM100" s="43"/>
      <c r="AN100" s="43"/>
      <c r="AO100" s="44"/>
      <c r="AP100" s="40"/>
      <c r="AQ100" s="35"/>
      <c r="AR100" s="43"/>
      <c r="AS100" s="45"/>
      <c r="AT100" s="43"/>
      <c r="AU100" s="45"/>
      <c r="AW100" s="40"/>
      <c r="AX100" s="35"/>
      <c r="AY100" s="43"/>
      <c r="AZ100" s="43"/>
      <c r="BA100" s="43"/>
      <c r="BB100" s="44"/>
    </row>
    <row r="101" spans="1:54" x14ac:dyDescent="0.35">
      <c r="A101" s="35"/>
      <c r="B101" s="43"/>
      <c r="C101" s="43"/>
      <c r="D101" s="43"/>
      <c r="E101" s="44"/>
      <c r="G101" s="35"/>
      <c r="H101" s="43"/>
      <c r="I101" s="43"/>
      <c r="J101" s="43"/>
      <c r="K101" s="44"/>
      <c r="L101" s="40"/>
      <c r="M101" s="35"/>
      <c r="N101" s="43"/>
      <c r="O101" s="43"/>
      <c r="P101" s="43"/>
      <c r="Q101" s="44"/>
      <c r="R101" s="38"/>
      <c r="S101" s="35"/>
      <c r="T101" s="43"/>
      <c r="U101" s="43"/>
      <c r="V101" s="43"/>
      <c r="W101" s="44"/>
      <c r="Y101" s="35"/>
      <c r="Z101" s="43"/>
      <c r="AA101" s="43"/>
      <c r="AB101" s="43"/>
      <c r="AC101" s="44"/>
      <c r="AE101" s="35"/>
      <c r="AF101" s="43"/>
      <c r="AG101" s="43"/>
      <c r="AH101" s="43"/>
      <c r="AI101" s="44"/>
      <c r="AK101" s="35"/>
      <c r="AL101" s="43"/>
      <c r="AM101" s="43"/>
      <c r="AN101" s="43"/>
      <c r="AO101" s="44"/>
      <c r="AP101" s="40"/>
      <c r="AQ101" s="35"/>
      <c r="AR101" s="43"/>
      <c r="AS101" s="45"/>
      <c r="AT101" s="43"/>
      <c r="AU101" s="45"/>
      <c r="AW101" s="40"/>
      <c r="AX101" s="35"/>
      <c r="AY101" s="43"/>
      <c r="AZ101" s="43"/>
      <c r="BA101" s="43"/>
      <c r="BB101" s="44"/>
    </row>
    <row r="102" spans="1:54" x14ac:dyDescent="0.35">
      <c r="A102" s="35"/>
      <c r="B102" s="43"/>
      <c r="C102" s="43"/>
      <c r="D102" s="43"/>
      <c r="E102" s="44"/>
      <c r="G102" s="35"/>
      <c r="H102" s="43"/>
      <c r="I102" s="43"/>
      <c r="J102" s="43"/>
      <c r="K102" s="44"/>
      <c r="L102" s="40"/>
      <c r="M102" s="35"/>
      <c r="N102" s="43"/>
      <c r="O102" s="43"/>
      <c r="P102" s="43"/>
      <c r="Q102" s="44"/>
      <c r="R102" s="38"/>
      <c r="S102" s="35"/>
      <c r="T102" s="43"/>
      <c r="U102" s="43"/>
      <c r="V102" s="43"/>
      <c r="W102" s="44"/>
      <c r="Y102" s="35"/>
      <c r="Z102" s="43"/>
      <c r="AA102" s="43"/>
      <c r="AB102" s="43"/>
      <c r="AC102" s="44"/>
      <c r="AE102" s="35"/>
      <c r="AF102" s="43"/>
      <c r="AG102" s="43"/>
      <c r="AH102" s="43"/>
      <c r="AI102" s="44"/>
      <c r="AK102" s="35"/>
      <c r="AL102" s="43"/>
      <c r="AM102" s="43"/>
      <c r="AN102" s="43"/>
      <c r="AO102" s="44"/>
      <c r="AP102" s="40"/>
      <c r="AQ102" s="35"/>
      <c r="AR102" s="43"/>
      <c r="AS102" s="45"/>
      <c r="AT102" s="43"/>
      <c r="AU102" s="45"/>
      <c r="AW102" s="40"/>
      <c r="AX102" s="35"/>
      <c r="AY102" s="43"/>
      <c r="AZ102" s="43"/>
      <c r="BA102" s="43"/>
      <c r="BB102" s="44"/>
    </row>
    <row r="103" spans="1:54" x14ac:dyDescent="0.35">
      <c r="A103" s="46"/>
      <c r="B103" s="47"/>
      <c r="C103" s="48"/>
      <c r="D103" s="48"/>
      <c r="E103" s="47"/>
      <c r="G103" s="46"/>
      <c r="H103" s="47"/>
      <c r="I103" s="48"/>
      <c r="J103" s="48"/>
      <c r="K103" s="47"/>
      <c r="L103" s="40"/>
      <c r="M103" s="46"/>
      <c r="N103" s="47"/>
      <c r="O103" s="48"/>
      <c r="P103" s="48"/>
      <c r="Q103" s="47"/>
      <c r="R103" s="38"/>
      <c r="S103" s="46"/>
      <c r="T103" s="47"/>
      <c r="U103" s="48"/>
      <c r="V103" s="48"/>
      <c r="W103" s="47"/>
      <c r="Y103" s="46"/>
      <c r="Z103" s="47"/>
      <c r="AA103" s="48"/>
      <c r="AB103" s="48"/>
      <c r="AC103" s="47"/>
      <c r="AE103" s="46"/>
      <c r="AF103" s="47"/>
      <c r="AG103" s="48"/>
      <c r="AH103" s="48"/>
      <c r="AI103" s="47"/>
      <c r="AK103" s="46"/>
      <c r="AL103" s="47"/>
      <c r="AM103" s="48"/>
      <c r="AN103" s="48"/>
      <c r="AO103" s="47"/>
      <c r="AP103" s="40"/>
      <c r="AQ103" s="46"/>
      <c r="AR103" s="47"/>
      <c r="AS103" s="45"/>
      <c r="AT103" s="48"/>
      <c r="AU103" s="45"/>
      <c r="AW103" s="40"/>
      <c r="AX103" s="46"/>
      <c r="AY103" s="47"/>
      <c r="AZ103" s="48"/>
      <c r="BA103" s="48"/>
      <c r="BB103" s="47"/>
    </row>
    <row r="104" spans="1:54" x14ac:dyDescent="0.35">
      <c r="L104" s="40"/>
      <c r="R104" s="38"/>
      <c r="AP104" s="40"/>
      <c r="AS104" s="45"/>
      <c r="AU104" s="45"/>
      <c r="AW104" s="40"/>
    </row>
    <row r="137" spans="1:54" x14ac:dyDescent="0.35">
      <c r="A137" s="29">
        <v>18</v>
      </c>
      <c r="B137" s="29">
        <v>19</v>
      </c>
      <c r="C137" s="29">
        <v>20</v>
      </c>
      <c r="D137" s="29">
        <v>21</v>
      </c>
      <c r="E137" s="29">
        <v>22</v>
      </c>
      <c r="G137" s="29">
        <v>29</v>
      </c>
      <c r="H137" s="29">
        <v>30</v>
      </c>
      <c r="I137" s="29">
        <v>31</v>
      </c>
      <c r="J137" s="29">
        <v>32</v>
      </c>
      <c r="K137" s="29">
        <v>33</v>
      </c>
      <c r="M137" s="29">
        <v>1</v>
      </c>
      <c r="N137" s="29">
        <v>2</v>
      </c>
      <c r="O137" s="29">
        <v>3</v>
      </c>
      <c r="P137" s="29">
        <v>4</v>
      </c>
      <c r="Q137" s="29">
        <v>5</v>
      </c>
      <c r="R137" s="29">
        <v>11</v>
      </c>
      <c r="S137" s="29">
        <v>12</v>
      </c>
      <c r="T137" s="29">
        <v>13</v>
      </c>
      <c r="U137" s="29">
        <v>14</v>
      </c>
      <c r="V137" s="29">
        <v>15</v>
      </c>
      <c r="W137" s="29">
        <v>16</v>
      </c>
      <c r="X137" s="29">
        <v>22</v>
      </c>
      <c r="Y137" s="29">
        <v>23</v>
      </c>
      <c r="Z137" s="29">
        <v>24</v>
      </c>
      <c r="AA137" s="29">
        <v>25</v>
      </c>
      <c r="AB137" s="29">
        <v>26</v>
      </c>
      <c r="AC137" s="29">
        <v>27</v>
      </c>
      <c r="AD137" s="29">
        <v>33</v>
      </c>
      <c r="AE137" s="29">
        <v>34</v>
      </c>
      <c r="AF137" s="29">
        <v>35</v>
      </c>
      <c r="AG137" s="29">
        <v>36</v>
      </c>
      <c r="AH137" s="29">
        <v>37</v>
      </c>
      <c r="AI137" s="29">
        <v>38</v>
      </c>
      <c r="AJ137" s="29">
        <v>44</v>
      </c>
      <c r="AK137" s="29">
        <v>45</v>
      </c>
      <c r="AL137" s="29">
        <v>46</v>
      </c>
      <c r="AM137" s="29">
        <v>47</v>
      </c>
      <c r="AN137" s="29">
        <v>48</v>
      </c>
      <c r="AO137" s="29">
        <v>49</v>
      </c>
      <c r="AQ137" s="29">
        <v>1</v>
      </c>
      <c r="AR137" s="29">
        <v>2</v>
      </c>
      <c r="AS137" s="29">
        <v>3</v>
      </c>
      <c r="AT137" s="29">
        <v>4</v>
      </c>
      <c r="AU137" s="29">
        <v>5</v>
      </c>
      <c r="AV137" s="29">
        <v>11</v>
      </c>
      <c r="AX137" s="29">
        <v>1</v>
      </c>
      <c r="AY137" s="29">
        <v>2</v>
      </c>
      <c r="AZ137" s="29">
        <v>3</v>
      </c>
      <c r="BA137" s="29">
        <v>4</v>
      </c>
      <c r="BB137" s="29">
        <v>5</v>
      </c>
    </row>
  </sheetData>
  <mergeCells count="35">
    <mergeCell ref="AX2:BB2"/>
    <mergeCell ref="B3:C3"/>
    <mergeCell ref="D3:E3"/>
    <mergeCell ref="H3:I3"/>
    <mergeCell ref="J3:K3"/>
    <mergeCell ref="N3:O3"/>
    <mergeCell ref="P3:Q3"/>
    <mergeCell ref="T3:U3"/>
    <mergeCell ref="V3:W3"/>
    <mergeCell ref="Z3:AA3"/>
    <mergeCell ref="AT3:AU3"/>
    <mergeCell ref="AY3:AZ3"/>
    <mergeCell ref="BA3:BB3"/>
    <mergeCell ref="AB3:AC3"/>
    <mergeCell ref="AF3:AG3"/>
    <mergeCell ref="AH3:AI3"/>
    <mergeCell ref="AK1:AO1"/>
    <mergeCell ref="AQ1:AU1"/>
    <mergeCell ref="AE2:AI2"/>
    <mergeCell ref="AK2:AO2"/>
    <mergeCell ref="AQ2:AU2"/>
    <mergeCell ref="AE1:AI1"/>
    <mergeCell ref="AL3:AM3"/>
    <mergeCell ref="AN3:AO3"/>
    <mergeCell ref="AR3:AS3"/>
    <mergeCell ref="A2:E2"/>
    <mergeCell ref="G2:K2"/>
    <mergeCell ref="M2:Q2"/>
    <mergeCell ref="S2:W2"/>
    <mergeCell ref="Y2:AC2"/>
    <mergeCell ref="A1:E1"/>
    <mergeCell ref="G1:K1"/>
    <mergeCell ref="M1:Q1"/>
    <mergeCell ref="S1:W1"/>
    <mergeCell ref="Y1:AC1"/>
  </mergeCells>
  <pageMargins left="0.7" right="0.7" top="0.75" bottom="0.75" header="0.3" footer="0.3"/>
  <headerFooter>
    <oddFooter>&amp;C_x000D_&amp;1#&amp;"Calibri"&amp;10&amp;K008000 INTERNAL</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E4CB7-0A52-4130-BD24-DAC2B53D91BD}">
  <dimension ref="A1:BC104"/>
  <sheetViews>
    <sheetView topLeftCell="AE1" workbookViewId="0">
      <pane ySplit="4" topLeftCell="A35" activePane="bottomLeft" state="frozen"/>
      <selection activeCell="N1" sqref="N1"/>
      <selection pane="bottomLeft" activeCell="AY35" sqref="AY35"/>
    </sheetView>
  </sheetViews>
  <sheetFormatPr defaultRowHeight="14.5" x14ac:dyDescent="0.35"/>
  <cols>
    <col min="1" max="1" width="8.7265625" style="29"/>
    <col min="2" max="2" width="13.453125" style="29" bestFit="1" customWidth="1"/>
    <col min="3" max="5" width="8.7265625" style="29"/>
    <col min="6" max="6" width="19.90625" style="29" customWidth="1"/>
    <col min="7" max="9" width="8.7265625" style="29"/>
    <col min="10" max="10" width="13.90625" style="29" bestFit="1" customWidth="1"/>
    <col min="11" max="11" width="12.54296875" style="29" bestFit="1" customWidth="1"/>
    <col min="12" max="17" width="8.7265625" style="29"/>
    <col min="18" max="18" width="14.81640625" style="29" bestFit="1" customWidth="1"/>
    <col min="19" max="31" width="8.7265625" style="29"/>
    <col min="32" max="32" width="14.453125" style="29" customWidth="1"/>
    <col min="33" max="35" width="8.7265625" style="29"/>
    <col min="36" max="36" width="17" style="29" customWidth="1"/>
    <col min="37" max="37" width="17.6328125" style="29" customWidth="1"/>
    <col min="38" max="41" width="8.7265625" style="29"/>
    <col min="42" max="42" width="14.6328125" style="62" bestFit="1" customWidth="1"/>
    <col min="43" max="46" width="8.7265625" style="29"/>
    <col min="47" max="47" width="9.6328125" style="29" customWidth="1"/>
    <col min="48" max="54" width="8.7265625" style="29"/>
  </cols>
  <sheetData>
    <row r="1" spans="1:55" x14ac:dyDescent="0.35">
      <c r="A1" s="527" t="s">
        <v>123</v>
      </c>
      <c r="B1" s="528"/>
      <c r="C1" s="528"/>
      <c r="D1" s="528"/>
      <c r="E1" s="528"/>
      <c r="G1" s="527" t="s">
        <v>124</v>
      </c>
      <c r="H1" s="528"/>
      <c r="I1" s="528"/>
      <c r="J1" s="528"/>
      <c r="K1" s="528"/>
      <c r="M1" s="529" t="s">
        <v>125</v>
      </c>
      <c r="N1" s="530"/>
      <c r="O1" s="530"/>
      <c r="P1" s="530"/>
      <c r="Q1" s="530"/>
      <c r="S1" s="529" t="s">
        <v>126</v>
      </c>
      <c r="T1" s="530"/>
      <c r="U1" s="530"/>
      <c r="V1" s="530"/>
      <c r="W1" s="530"/>
      <c r="Y1" s="527" t="s">
        <v>127</v>
      </c>
      <c r="Z1" s="528"/>
      <c r="AA1" s="528"/>
      <c r="AB1" s="528"/>
      <c r="AC1" s="528"/>
      <c r="AE1" s="527" t="s">
        <v>128</v>
      </c>
      <c r="AF1" s="528"/>
      <c r="AG1" s="528"/>
      <c r="AH1" s="528"/>
      <c r="AI1" s="528"/>
      <c r="AK1" s="527" t="s">
        <v>129</v>
      </c>
      <c r="AL1" s="528"/>
      <c r="AM1" s="528"/>
      <c r="AN1" s="528"/>
      <c r="AO1" s="528"/>
      <c r="AQ1" s="527" t="s">
        <v>130</v>
      </c>
      <c r="AR1" s="528"/>
      <c r="AS1" s="528"/>
      <c r="AT1" s="528"/>
      <c r="AU1" s="528"/>
      <c r="AX1" t="s">
        <v>137</v>
      </c>
      <c r="AY1"/>
      <c r="AZ1"/>
      <c r="BA1"/>
      <c r="BB1"/>
    </row>
    <row r="2" spans="1:55" x14ac:dyDescent="0.35">
      <c r="A2" s="527" t="s">
        <v>132</v>
      </c>
      <c r="B2" s="528"/>
      <c r="C2" s="528"/>
      <c r="D2" s="528"/>
      <c r="E2" s="533"/>
      <c r="G2" s="527" t="s">
        <v>132</v>
      </c>
      <c r="H2" s="528"/>
      <c r="I2" s="528"/>
      <c r="J2" s="528"/>
      <c r="K2" s="533"/>
      <c r="M2" s="527" t="s">
        <v>132</v>
      </c>
      <c r="N2" s="528"/>
      <c r="O2" s="528"/>
      <c r="P2" s="528"/>
      <c r="Q2" s="533"/>
      <c r="S2" s="527" t="s">
        <v>132</v>
      </c>
      <c r="T2" s="528"/>
      <c r="U2" s="528"/>
      <c r="V2" s="528"/>
      <c r="W2" s="533"/>
      <c r="Y2" s="527" t="s">
        <v>132</v>
      </c>
      <c r="Z2" s="528"/>
      <c r="AA2" s="528"/>
      <c r="AB2" s="528"/>
      <c r="AC2" s="533"/>
      <c r="AE2" s="527" t="s">
        <v>132</v>
      </c>
      <c r="AF2" s="528"/>
      <c r="AG2" s="528"/>
      <c r="AH2" s="528"/>
      <c r="AI2" s="533"/>
      <c r="AK2" s="527" t="s">
        <v>132</v>
      </c>
      <c r="AL2" s="528"/>
      <c r="AM2" s="528"/>
      <c r="AN2" s="528"/>
      <c r="AO2" s="533"/>
      <c r="AQ2" s="527" t="s">
        <v>132</v>
      </c>
      <c r="AR2" s="528"/>
      <c r="AS2" s="528"/>
      <c r="AT2" s="528"/>
      <c r="AU2" s="533"/>
      <c r="AX2" s="527" t="s">
        <v>132</v>
      </c>
      <c r="AY2" s="528"/>
      <c r="AZ2" s="528"/>
      <c r="BA2" s="528"/>
      <c r="BB2" s="533"/>
    </row>
    <row r="3" spans="1:55" x14ac:dyDescent="0.35">
      <c r="A3" s="32">
        <v>66</v>
      </c>
      <c r="B3" s="531" t="s">
        <v>133</v>
      </c>
      <c r="C3" s="532"/>
      <c r="D3" s="531" t="s">
        <v>134</v>
      </c>
      <c r="E3" s="532"/>
      <c r="G3" s="32">
        <v>66</v>
      </c>
      <c r="H3" s="531" t="s">
        <v>133</v>
      </c>
      <c r="I3" s="532"/>
      <c r="J3" s="531" t="s">
        <v>134</v>
      </c>
      <c r="K3" s="532"/>
      <c r="M3" s="32">
        <v>66</v>
      </c>
      <c r="N3" s="531" t="s">
        <v>133</v>
      </c>
      <c r="O3" s="532"/>
      <c r="P3" s="531" t="s">
        <v>134</v>
      </c>
      <c r="Q3" s="532"/>
      <c r="S3" s="32">
        <v>66</v>
      </c>
      <c r="T3" s="531" t="s">
        <v>133</v>
      </c>
      <c r="U3" s="532"/>
      <c r="V3" s="531" t="s">
        <v>134</v>
      </c>
      <c r="W3" s="532"/>
      <c r="Y3" s="32">
        <v>66</v>
      </c>
      <c r="Z3" s="531" t="s">
        <v>133</v>
      </c>
      <c r="AA3" s="532"/>
      <c r="AB3" s="531" t="s">
        <v>134</v>
      </c>
      <c r="AC3" s="532"/>
      <c r="AE3" s="32">
        <v>66</v>
      </c>
      <c r="AF3" s="531" t="s">
        <v>133</v>
      </c>
      <c r="AG3" s="532"/>
      <c r="AH3" s="531" t="s">
        <v>134</v>
      </c>
      <c r="AI3" s="532"/>
      <c r="AK3" s="32">
        <v>66</v>
      </c>
      <c r="AL3" s="531" t="s">
        <v>133</v>
      </c>
      <c r="AM3" s="532"/>
      <c r="AN3" s="531" t="s">
        <v>134</v>
      </c>
      <c r="AO3" s="532"/>
      <c r="AQ3" s="32">
        <v>66</v>
      </c>
      <c r="AR3" s="531" t="s">
        <v>133</v>
      </c>
      <c r="AS3" s="532"/>
      <c r="AT3" s="531" t="s">
        <v>134</v>
      </c>
      <c r="AU3" s="532"/>
      <c r="AX3" s="32">
        <v>66</v>
      </c>
      <c r="AY3" s="531" t="s">
        <v>133</v>
      </c>
      <c r="AZ3" s="532"/>
      <c r="BA3" s="531" t="s">
        <v>134</v>
      </c>
      <c r="BB3" s="532"/>
    </row>
    <row r="4" spans="1:55" x14ac:dyDescent="0.35">
      <c r="A4" s="33" t="s">
        <v>135</v>
      </c>
      <c r="B4" s="33" t="s">
        <v>136</v>
      </c>
      <c r="C4" s="34"/>
      <c r="D4" s="33" t="s">
        <v>136</v>
      </c>
      <c r="E4" s="34"/>
      <c r="G4" s="33" t="s">
        <v>135</v>
      </c>
      <c r="H4" s="33" t="s">
        <v>136</v>
      </c>
      <c r="I4" s="34"/>
      <c r="J4" s="33" t="s">
        <v>136</v>
      </c>
      <c r="K4" s="34"/>
      <c r="M4" s="33" t="s">
        <v>135</v>
      </c>
      <c r="N4" s="33" t="s">
        <v>136</v>
      </c>
      <c r="O4" s="34"/>
      <c r="P4" s="33" t="s">
        <v>136</v>
      </c>
      <c r="Q4" s="34"/>
      <c r="S4" s="33" t="s">
        <v>135</v>
      </c>
      <c r="T4" s="33" t="s">
        <v>136</v>
      </c>
      <c r="U4" s="34"/>
      <c r="V4" s="33" t="s">
        <v>136</v>
      </c>
      <c r="W4" s="34"/>
      <c r="Y4" s="33" t="s">
        <v>135</v>
      </c>
      <c r="Z4" s="33" t="s">
        <v>136</v>
      </c>
      <c r="AA4" s="34"/>
      <c r="AB4" s="33" t="s">
        <v>136</v>
      </c>
      <c r="AC4" s="34"/>
      <c r="AE4" s="33" t="s">
        <v>135</v>
      </c>
      <c r="AF4" s="33" t="s">
        <v>136</v>
      </c>
      <c r="AG4" s="34"/>
      <c r="AH4" s="33" t="s">
        <v>136</v>
      </c>
      <c r="AI4" s="34"/>
      <c r="AK4" s="33" t="s">
        <v>135</v>
      </c>
      <c r="AL4" s="33" t="s">
        <v>136</v>
      </c>
      <c r="AM4" s="34"/>
      <c r="AN4" s="33" t="s">
        <v>136</v>
      </c>
      <c r="AO4" s="34"/>
      <c r="AQ4" s="33" t="s">
        <v>135</v>
      </c>
      <c r="AR4" s="33" t="s">
        <v>136</v>
      </c>
      <c r="AS4" s="34"/>
      <c r="AT4" s="33" t="s">
        <v>136</v>
      </c>
      <c r="AU4" s="34"/>
      <c r="AX4" s="33" t="s">
        <v>135</v>
      </c>
      <c r="AY4" s="33" t="s">
        <v>136</v>
      </c>
      <c r="AZ4" s="34"/>
      <c r="BA4" s="33" t="s">
        <v>136</v>
      </c>
      <c r="BB4" s="34"/>
    </row>
    <row r="5" spans="1:55" x14ac:dyDescent="0.35">
      <c r="A5" s="35">
        <v>0</v>
      </c>
      <c r="B5" s="36">
        <v>90.44</v>
      </c>
      <c r="C5" s="37"/>
      <c r="D5" s="36">
        <v>81.06</v>
      </c>
      <c r="E5" s="37"/>
      <c r="G5" s="35">
        <v>0</v>
      </c>
      <c r="H5" s="36">
        <v>51.29</v>
      </c>
      <c r="I5" s="37"/>
      <c r="J5" s="36">
        <v>46.72</v>
      </c>
      <c r="K5" s="37"/>
      <c r="L5" s="29">
        <v>41</v>
      </c>
      <c r="M5" s="35">
        <v>0</v>
      </c>
      <c r="N5" s="36">
        <v>22.59</v>
      </c>
      <c r="O5" s="37"/>
      <c r="P5" s="36">
        <v>20.69</v>
      </c>
      <c r="Q5" s="37"/>
      <c r="R5" s="61"/>
      <c r="S5" s="35">
        <v>0</v>
      </c>
      <c r="T5" s="36">
        <v>12.39</v>
      </c>
      <c r="U5" s="37"/>
      <c r="V5" s="36">
        <v>11.44</v>
      </c>
      <c r="W5" s="37"/>
      <c r="X5" s="39"/>
      <c r="Y5" s="35">
        <v>0</v>
      </c>
      <c r="Z5" s="36">
        <v>91.32</v>
      </c>
      <c r="AA5" s="37"/>
      <c r="AB5" s="36">
        <v>79.930000000000007</v>
      </c>
      <c r="AC5" s="37"/>
      <c r="AE5" s="35">
        <v>0</v>
      </c>
      <c r="AF5" s="36">
        <v>51.99</v>
      </c>
      <c r="AG5" s="37"/>
      <c r="AH5" s="36">
        <v>46.25</v>
      </c>
      <c r="AI5" s="37"/>
      <c r="AJ5" s="40">
        <v>41</v>
      </c>
      <c r="AK5" s="35">
        <v>0</v>
      </c>
      <c r="AL5" s="36">
        <v>22.91</v>
      </c>
      <c r="AM5" s="37"/>
      <c r="AN5" s="36">
        <v>20.48</v>
      </c>
      <c r="AO5" s="37"/>
      <c r="AP5" s="63"/>
      <c r="AQ5" s="35">
        <v>0</v>
      </c>
      <c r="AR5" s="36">
        <v>12.59</v>
      </c>
      <c r="AS5" s="37"/>
      <c r="AT5" s="36">
        <v>11.35</v>
      </c>
      <c r="AU5" s="37"/>
      <c r="AW5" s="40"/>
      <c r="AX5" s="35">
        <v>0</v>
      </c>
      <c r="AY5" s="36">
        <v>9.68</v>
      </c>
      <c r="AZ5" s="37"/>
      <c r="BA5" s="36">
        <v>9.0299999999999994</v>
      </c>
      <c r="BB5" s="37"/>
      <c r="BC5" s="49"/>
    </row>
    <row r="6" spans="1:55" x14ac:dyDescent="0.35">
      <c r="A6" s="35">
        <v>1</v>
      </c>
      <c r="B6" s="36">
        <v>92.88</v>
      </c>
      <c r="C6" s="37"/>
      <c r="D6" s="36">
        <v>83.06</v>
      </c>
      <c r="E6" s="37"/>
      <c r="G6" s="35">
        <v>1</v>
      </c>
      <c r="H6" s="36">
        <v>52.49</v>
      </c>
      <c r="I6" s="37"/>
      <c r="J6" s="36">
        <v>47.68</v>
      </c>
      <c r="K6" s="37"/>
      <c r="L6" s="40"/>
      <c r="M6" s="35">
        <v>1</v>
      </c>
      <c r="N6" s="36">
        <v>23.09</v>
      </c>
      <c r="O6" s="37"/>
      <c r="P6" s="36">
        <v>21.09</v>
      </c>
      <c r="Q6" s="37"/>
      <c r="R6" s="61"/>
      <c r="S6" s="35">
        <v>1</v>
      </c>
      <c r="T6" s="36">
        <v>12.65</v>
      </c>
      <c r="U6" s="37"/>
      <c r="V6" s="36">
        <v>11.64</v>
      </c>
      <c r="W6" s="37"/>
      <c r="X6" s="39"/>
      <c r="Y6" s="35">
        <v>1</v>
      </c>
      <c r="Z6" s="36">
        <v>94.02</v>
      </c>
      <c r="AA6" s="37"/>
      <c r="AB6" s="36">
        <v>82.05</v>
      </c>
      <c r="AC6" s="37"/>
      <c r="AE6" s="35">
        <v>1</v>
      </c>
      <c r="AF6" s="36">
        <v>53.35</v>
      </c>
      <c r="AG6" s="37"/>
      <c r="AH6" s="36">
        <v>47.3</v>
      </c>
      <c r="AI6" s="37"/>
      <c r="AK6" s="35">
        <v>1</v>
      </c>
      <c r="AL6" s="36">
        <v>23.47</v>
      </c>
      <c r="AM6" s="37"/>
      <c r="AN6" s="36">
        <v>20.93</v>
      </c>
      <c r="AO6" s="37"/>
      <c r="AP6" s="63"/>
      <c r="AQ6" s="35">
        <v>1</v>
      </c>
      <c r="AR6" s="36">
        <v>12.88</v>
      </c>
      <c r="AS6" s="37"/>
      <c r="AT6" s="36">
        <v>11.57</v>
      </c>
      <c r="AU6" s="37"/>
      <c r="AW6" s="40"/>
      <c r="AX6" s="35">
        <v>1</v>
      </c>
      <c r="AY6" s="36">
        <v>9.86</v>
      </c>
      <c r="AZ6" s="37"/>
      <c r="BA6" s="36">
        <v>9.17</v>
      </c>
      <c r="BB6" s="37"/>
    </row>
    <row r="7" spans="1:55" x14ac:dyDescent="0.35">
      <c r="A7" s="35">
        <v>2</v>
      </c>
      <c r="B7" s="36">
        <v>95.57</v>
      </c>
      <c r="C7" s="37"/>
      <c r="D7" s="36">
        <v>85.26</v>
      </c>
      <c r="E7" s="37"/>
      <c r="G7" s="35">
        <v>2</v>
      </c>
      <c r="H7" s="36">
        <v>53.85</v>
      </c>
      <c r="I7" s="37"/>
      <c r="J7" s="36">
        <v>48.78</v>
      </c>
      <c r="K7" s="37"/>
      <c r="L7" s="40"/>
      <c r="M7" s="35">
        <v>2</v>
      </c>
      <c r="N7" s="36">
        <v>23.66</v>
      </c>
      <c r="O7" s="37"/>
      <c r="P7" s="36">
        <v>21.55</v>
      </c>
      <c r="Q7" s="37"/>
      <c r="R7" s="61"/>
      <c r="S7" s="35">
        <v>2</v>
      </c>
      <c r="T7" s="36">
        <v>12.95</v>
      </c>
      <c r="U7" s="37"/>
      <c r="V7" s="36">
        <v>11.88</v>
      </c>
      <c r="W7" s="37"/>
      <c r="X7" s="39"/>
      <c r="Y7" s="35">
        <v>2</v>
      </c>
      <c r="Z7" s="36">
        <v>96.69</v>
      </c>
      <c r="AA7" s="37"/>
      <c r="AB7" s="36">
        <v>84.24</v>
      </c>
      <c r="AC7" s="37"/>
      <c r="AE7" s="35">
        <v>2</v>
      </c>
      <c r="AF7" s="36">
        <v>54.71</v>
      </c>
      <c r="AG7" s="37"/>
      <c r="AH7" s="36">
        <v>48.41</v>
      </c>
      <c r="AI7" s="37"/>
      <c r="AK7" s="35">
        <v>2</v>
      </c>
      <c r="AL7" s="36">
        <v>24.04</v>
      </c>
      <c r="AM7" s="37"/>
      <c r="AN7" s="36">
        <v>21.39</v>
      </c>
      <c r="AO7" s="37"/>
      <c r="AP7" s="63"/>
      <c r="AQ7" s="35">
        <v>2</v>
      </c>
      <c r="AR7" s="36">
        <v>13.19</v>
      </c>
      <c r="AS7" s="37"/>
      <c r="AT7" s="36">
        <v>11.82</v>
      </c>
      <c r="AU7" s="37"/>
      <c r="AW7" s="40"/>
      <c r="AX7" s="35">
        <v>2</v>
      </c>
      <c r="AY7" s="36">
        <v>10.07</v>
      </c>
      <c r="AZ7" s="37"/>
      <c r="BA7" s="36">
        <v>9.34</v>
      </c>
      <c r="BB7" s="37"/>
    </row>
    <row r="8" spans="1:55" x14ac:dyDescent="0.35">
      <c r="A8" s="35">
        <v>3</v>
      </c>
      <c r="B8" s="36">
        <v>98.21</v>
      </c>
      <c r="C8" s="37"/>
      <c r="D8" s="36">
        <v>87.34</v>
      </c>
      <c r="E8" s="37"/>
      <c r="G8" s="35">
        <v>3</v>
      </c>
      <c r="H8" s="36">
        <v>55.18</v>
      </c>
      <c r="I8" s="37"/>
      <c r="J8" s="36">
        <v>49.8</v>
      </c>
      <c r="K8" s="37"/>
      <c r="L8" s="40"/>
      <c r="M8" s="35">
        <v>3</v>
      </c>
      <c r="N8" s="36">
        <v>24.22</v>
      </c>
      <c r="O8" s="37"/>
      <c r="P8" s="36">
        <v>21.98</v>
      </c>
      <c r="Q8" s="37"/>
      <c r="R8" s="61"/>
      <c r="S8" s="35">
        <v>3</v>
      </c>
      <c r="T8" s="36">
        <v>13.25</v>
      </c>
      <c r="U8" s="37"/>
      <c r="V8" s="36">
        <v>12.1</v>
      </c>
      <c r="W8" s="37"/>
      <c r="X8" s="39"/>
      <c r="Y8" s="35">
        <v>3</v>
      </c>
      <c r="Z8" s="36">
        <v>99.47</v>
      </c>
      <c r="AA8" s="37"/>
      <c r="AB8" s="36">
        <v>86.41</v>
      </c>
      <c r="AC8" s="37"/>
      <c r="AE8" s="35">
        <v>3</v>
      </c>
      <c r="AF8" s="36">
        <v>56.13</v>
      </c>
      <c r="AG8" s="37"/>
      <c r="AH8" s="36">
        <v>49.5</v>
      </c>
      <c r="AI8" s="37"/>
      <c r="AK8" s="35">
        <v>3</v>
      </c>
      <c r="AL8" s="36">
        <v>24.64</v>
      </c>
      <c r="AM8" s="37"/>
      <c r="AN8" s="36">
        <v>21.85</v>
      </c>
      <c r="AO8" s="37"/>
      <c r="AP8" s="63"/>
      <c r="AQ8" s="35">
        <v>3</v>
      </c>
      <c r="AR8" s="36">
        <v>13.51</v>
      </c>
      <c r="AS8" s="37"/>
      <c r="AT8" s="36">
        <v>12.06</v>
      </c>
      <c r="AU8" s="37"/>
      <c r="AW8" s="40"/>
      <c r="AX8" s="35">
        <v>3</v>
      </c>
      <c r="AY8" s="36">
        <v>10.29</v>
      </c>
      <c r="AZ8" s="37"/>
      <c r="BA8" s="36">
        <v>9.5</v>
      </c>
      <c r="BB8" s="37"/>
    </row>
    <row r="9" spans="1:55" ht="11" customHeight="1" x14ac:dyDescent="0.35">
      <c r="A9" s="35">
        <v>4</v>
      </c>
      <c r="B9" s="36">
        <v>100.87</v>
      </c>
      <c r="C9" s="37"/>
      <c r="D9" s="36">
        <v>89.53</v>
      </c>
      <c r="E9" s="37"/>
      <c r="G9" s="35">
        <v>4</v>
      </c>
      <c r="H9" s="36">
        <v>56.52</v>
      </c>
      <c r="I9" s="37"/>
      <c r="J9" s="36">
        <v>50.89</v>
      </c>
      <c r="K9" s="37"/>
      <c r="L9" s="40"/>
      <c r="M9" s="35">
        <v>4</v>
      </c>
      <c r="N9" s="36">
        <v>24.78</v>
      </c>
      <c r="O9" s="37"/>
      <c r="P9" s="36">
        <v>22.43</v>
      </c>
      <c r="Q9" s="37"/>
      <c r="R9" s="61"/>
      <c r="S9" s="35">
        <v>4</v>
      </c>
      <c r="T9" s="36">
        <v>13.54</v>
      </c>
      <c r="U9" s="37"/>
      <c r="V9" s="36">
        <v>12.34</v>
      </c>
      <c r="W9" s="37"/>
      <c r="X9" s="39"/>
      <c r="Y9" s="35">
        <v>4</v>
      </c>
      <c r="Z9" s="36">
        <v>102.28</v>
      </c>
      <c r="AA9" s="37"/>
      <c r="AB9" s="36">
        <v>88.65</v>
      </c>
      <c r="AC9" s="37"/>
      <c r="AE9" s="35">
        <v>4</v>
      </c>
      <c r="AF9" s="36">
        <v>57.57</v>
      </c>
      <c r="AG9" s="37"/>
      <c r="AH9" s="36">
        <v>50.63</v>
      </c>
      <c r="AI9" s="37"/>
      <c r="AK9" s="35">
        <v>4</v>
      </c>
      <c r="AL9" s="36">
        <v>25.25</v>
      </c>
      <c r="AM9" s="37"/>
      <c r="AN9" s="36">
        <v>22.33</v>
      </c>
      <c r="AO9" s="37"/>
      <c r="AP9" s="63"/>
      <c r="AQ9" s="35">
        <v>4</v>
      </c>
      <c r="AR9" s="36">
        <v>13.82</v>
      </c>
      <c r="AS9" s="37"/>
      <c r="AT9" s="36">
        <v>12.31</v>
      </c>
      <c r="AU9" s="37"/>
      <c r="AW9" s="40"/>
      <c r="AX9" s="35">
        <v>4</v>
      </c>
      <c r="AY9" s="36">
        <v>10.5</v>
      </c>
      <c r="AZ9" s="37"/>
      <c r="BA9" s="36">
        <v>9.66</v>
      </c>
      <c r="BB9" s="37"/>
    </row>
    <row r="10" spans="1:55" x14ac:dyDescent="0.35">
      <c r="A10" s="35">
        <v>5</v>
      </c>
      <c r="B10" s="36">
        <v>103.52</v>
      </c>
      <c r="C10" s="37"/>
      <c r="D10" s="36">
        <v>91.71</v>
      </c>
      <c r="E10" s="37"/>
      <c r="G10" s="35">
        <v>5</v>
      </c>
      <c r="H10" s="36">
        <v>57.84</v>
      </c>
      <c r="I10" s="37"/>
      <c r="J10" s="36">
        <v>51.96</v>
      </c>
      <c r="K10" s="37"/>
      <c r="L10" s="40"/>
      <c r="M10" s="35">
        <v>5</v>
      </c>
      <c r="N10" s="36">
        <v>25.34</v>
      </c>
      <c r="O10" s="37"/>
      <c r="P10" s="36">
        <v>22.88</v>
      </c>
      <c r="Q10" s="37"/>
      <c r="R10" s="61"/>
      <c r="S10" s="35">
        <v>5</v>
      </c>
      <c r="T10" s="36">
        <v>13.82</v>
      </c>
      <c r="U10" s="37"/>
      <c r="V10" s="36">
        <v>12.57</v>
      </c>
      <c r="W10" s="37"/>
      <c r="X10" s="39"/>
      <c r="Y10" s="35">
        <v>5</v>
      </c>
      <c r="Z10" s="36">
        <v>105.03</v>
      </c>
      <c r="AA10" s="37"/>
      <c r="AB10" s="36">
        <v>90.96</v>
      </c>
      <c r="AC10" s="37"/>
      <c r="AE10" s="35">
        <v>5</v>
      </c>
      <c r="AF10" s="36">
        <v>58.96</v>
      </c>
      <c r="AG10" s="37"/>
      <c r="AH10" s="36">
        <v>51.79</v>
      </c>
      <c r="AI10" s="37"/>
      <c r="AK10" s="35">
        <v>5</v>
      </c>
      <c r="AL10" s="36">
        <v>25.83</v>
      </c>
      <c r="AM10" s="37"/>
      <c r="AN10" s="36">
        <v>22.81</v>
      </c>
      <c r="AO10" s="37"/>
      <c r="AP10" s="63"/>
      <c r="AQ10" s="35">
        <v>5</v>
      </c>
      <c r="AR10" s="36">
        <v>14.12</v>
      </c>
      <c r="AS10" s="37"/>
      <c r="AT10" s="36">
        <v>12.56</v>
      </c>
      <c r="AU10" s="37"/>
      <c r="AW10" s="40"/>
      <c r="AX10" s="35">
        <v>5</v>
      </c>
      <c r="AY10" s="36">
        <v>10.69</v>
      </c>
      <c r="AZ10" s="37"/>
      <c r="BA10" s="36">
        <v>9.82</v>
      </c>
      <c r="BB10" s="37"/>
    </row>
    <row r="11" spans="1:55" x14ac:dyDescent="0.35">
      <c r="A11" s="35">
        <v>6</v>
      </c>
      <c r="B11" s="36">
        <v>106.31</v>
      </c>
      <c r="C11" s="37"/>
      <c r="D11" s="36">
        <v>93.85</v>
      </c>
      <c r="E11" s="37"/>
      <c r="G11" s="35">
        <v>6</v>
      </c>
      <c r="H11" s="36">
        <v>59.24</v>
      </c>
      <c r="I11" s="37"/>
      <c r="J11" s="36">
        <v>53.01</v>
      </c>
      <c r="K11" s="37"/>
      <c r="L11" s="40"/>
      <c r="M11" s="35">
        <v>6</v>
      </c>
      <c r="N11" s="36">
        <v>25.91</v>
      </c>
      <c r="O11" s="37"/>
      <c r="P11" s="36">
        <v>23.31</v>
      </c>
      <c r="Q11" s="37"/>
      <c r="R11" s="61"/>
      <c r="S11" s="35">
        <v>6</v>
      </c>
      <c r="T11" s="36">
        <v>14.11</v>
      </c>
      <c r="U11" s="37"/>
      <c r="V11" s="36">
        <v>12.78</v>
      </c>
      <c r="W11" s="37"/>
      <c r="X11" s="39"/>
      <c r="Y11" s="35">
        <v>6</v>
      </c>
      <c r="Z11" s="36">
        <v>107.88</v>
      </c>
      <c r="AA11" s="37"/>
      <c r="AB11" s="36">
        <v>93.29</v>
      </c>
      <c r="AC11" s="37"/>
      <c r="AE11" s="35">
        <v>6</v>
      </c>
      <c r="AF11" s="36">
        <v>60.41</v>
      </c>
      <c r="AG11" s="37"/>
      <c r="AH11" s="36">
        <v>52.97</v>
      </c>
      <c r="AI11" s="37"/>
      <c r="AK11" s="35">
        <v>6</v>
      </c>
      <c r="AL11" s="36">
        <v>26.44</v>
      </c>
      <c r="AM11" s="37"/>
      <c r="AN11" s="36">
        <v>23.31</v>
      </c>
      <c r="AO11" s="37"/>
      <c r="AP11" s="63"/>
      <c r="AQ11" s="35">
        <v>6</v>
      </c>
      <c r="AR11" s="36">
        <v>14.43</v>
      </c>
      <c r="AS11" s="37"/>
      <c r="AT11" s="36">
        <v>12.81</v>
      </c>
      <c r="AU11" s="37"/>
      <c r="AW11" s="40"/>
      <c r="AX11" s="35">
        <v>6</v>
      </c>
      <c r="AY11" s="36">
        <v>10.9</v>
      </c>
      <c r="AZ11" s="37"/>
      <c r="BA11" s="36">
        <v>9.9700000000000006</v>
      </c>
      <c r="BB11" s="37"/>
    </row>
    <row r="12" spans="1:55" x14ac:dyDescent="0.35">
      <c r="A12" s="35">
        <v>7</v>
      </c>
      <c r="B12" s="36">
        <v>109.18</v>
      </c>
      <c r="C12" s="37"/>
      <c r="D12" s="36">
        <v>96.13</v>
      </c>
      <c r="E12" s="37"/>
      <c r="G12" s="35">
        <v>7</v>
      </c>
      <c r="H12" s="36">
        <v>60.63</v>
      </c>
      <c r="I12" s="37"/>
      <c r="J12" s="36">
        <v>54.14</v>
      </c>
      <c r="K12" s="37"/>
      <c r="L12" s="40"/>
      <c r="M12" s="35">
        <v>7</v>
      </c>
      <c r="N12" s="36">
        <v>26.52</v>
      </c>
      <c r="O12" s="37"/>
      <c r="P12" s="36">
        <v>23.78</v>
      </c>
      <c r="Q12" s="37"/>
      <c r="R12" s="61"/>
      <c r="S12" s="35">
        <v>7</v>
      </c>
      <c r="T12" s="36">
        <v>14.42</v>
      </c>
      <c r="U12" s="37"/>
      <c r="V12" s="36">
        <v>13.02</v>
      </c>
      <c r="W12" s="37"/>
      <c r="X12" s="39"/>
      <c r="Y12" s="35">
        <v>7</v>
      </c>
      <c r="Z12" s="36">
        <v>110.98</v>
      </c>
      <c r="AA12" s="37"/>
      <c r="AB12" s="36">
        <v>95.71</v>
      </c>
      <c r="AC12" s="37"/>
      <c r="AE12" s="35">
        <v>7</v>
      </c>
      <c r="AF12" s="36">
        <v>61.94</v>
      </c>
      <c r="AG12" s="37"/>
      <c r="AH12" s="36">
        <v>54.19</v>
      </c>
      <c r="AI12" s="37"/>
      <c r="AK12" s="35">
        <v>7</v>
      </c>
      <c r="AL12" s="36">
        <v>27.1</v>
      </c>
      <c r="AM12" s="37"/>
      <c r="AN12" s="36">
        <v>23.82</v>
      </c>
      <c r="AO12" s="37"/>
      <c r="AP12" s="63"/>
      <c r="AQ12" s="35">
        <v>7</v>
      </c>
      <c r="AR12" s="36">
        <v>14.77</v>
      </c>
      <c r="AS12" s="37"/>
      <c r="AT12" s="36">
        <v>13.07</v>
      </c>
      <c r="AU12" s="37"/>
      <c r="AW12" s="40"/>
      <c r="AX12" s="35">
        <v>7</v>
      </c>
      <c r="AY12" s="36">
        <v>11.11</v>
      </c>
      <c r="AZ12" s="37"/>
      <c r="BA12" s="36">
        <v>10.130000000000001</v>
      </c>
      <c r="BB12" s="37"/>
    </row>
    <row r="13" spans="1:55" x14ac:dyDescent="0.35">
      <c r="A13" s="35">
        <v>8</v>
      </c>
      <c r="B13" s="36">
        <v>112.25</v>
      </c>
      <c r="C13" s="37"/>
      <c r="D13" s="36">
        <v>98.47</v>
      </c>
      <c r="E13" s="37"/>
      <c r="G13" s="35">
        <v>8</v>
      </c>
      <c r="H13" s="36">
        <v>62.19</v>
      </c>
      <c r="I13" s="37"/>
      <c r="J13" s="36">
        <v>55.3</v>
      </c>
      <c r="K13" s="37"/>
      <c r="L13" s="40"/>
      <c r="M13" s="35">
        <v>8</v>
      </c>
      <c r="N13" s="36">
        <v>27.16</v>
      </c>
      <c r="O13" s="37"/>
      <c r="P13" s="36">
        <v>24.26</v>
      </c>
      <c r="Q13" s="37"/>
      <c r="R13" s="61"/>
      <c r="S13" s="35">
        <v>8</v>
      </c>
      <c r="T13" s="36">
        <v>14.75</v>
      </c>
      <c r="U13" s="37"/>
      <c r="V13" s="36">
        <v>13.26</v>
      </c>
      <c r="W13" s="37"/>
      <c r="X13" s="39"/>
      <c r="Y13" s="35">
        <v>8</v>
      </c>
      <c r="Z13" s="36">
        <v>114.34</v>
      </c>
      <c r="AA13" s="37"/>
      <c r="AB13" s="36">
        <v>98.31</v>
      </c>
      <c r="AC13" s="37"/>
      <c r="AE13" s="35">
        <v>8</v>
      </c>
      <c r="AF13" s="36">
        <v>63.67</v>
      </c>
      <c r="AG13" s="37"/>
      <c r="AH13" s="36">
        <v>55.51</v>
      </c>
      <c r="AI13" s="37"/>
      <c r="AK13" s="35">
        <v>8</v>
      </c>
      <c r="AL13" s="36">
        <v>27.82</v>
      </c>
      <c r="AM13" s="37"/>
      <c r="AN13" s="36">
        <v>24.37</v>
      </c>
      <c r="AO13" s="37"/>
      <c r="AP13" s="63"/>
      <c r="AQ13" s="35">
        <v>8</v>
      </c>
      <c r="AR13" s="36">
        <v>15.15</v>
      </c>
      <c r="AS13" s="37"/>
      <c r="AT13" s="36">
        <v>13.36</v>
      </c>
      <c r="AU13" s="37"/>
      <c r="AW13" s="40"/>
      <c r="AX13" s="35">
        <v>8</v>
      </c>
      <c r="AY13" s="36">
        <v>11.35</v>
      </c>
      <c r="AZ13" s="37"/>
      <c r="BA13" s="36">
        <v>10.3</v>
      </c>
      <c r="BB13" s="37"/>
    </row>
    <row r="14" spans="1:55" x14ac:dyDescent="0.35">
      <c r="A14" s="35">
        <v>9</v>
      </c>
      <c r="B14" s="36">
        <v>115.57</v>
      </c>
      <c r="C14" s="37"/>
      <c r="D14" s="36">
        <v>100.94</v>
      </c>
      <c r="E14" s="37"/>
      <c r="G14" s="35">
        <v>9</v>
      </c>
      <c r="H14" s="36">
        <v>63.88</v>
      </c>
      <c r="I14" s="37"/>
      <c r="J14" s="36">
        <v>56.53</v>
      </c>
      <c r="K14" s="37"/>
      <c r="L14" s="40"/>
      <c r="M14" s="35">
        <v>9</v>
      </c>
      <c r="N14" s="36">
        <v>27.86</v>
      </c>
      <c r="O14" s="37"/>
      <c r="P14" s="36">
        <v>24.77</v>
      </c>
      <c r="Q14" s="37"/>
      <c r="R14" s="61"/>
      <c r="S14" s="35">
        <v>9</v>
      </c>
      <c r="T14" s="36">
        <v>15.11</v>
      </c>
      <c r="U14" s="37"/>
      <c r="V14" s="36">
        <v>13.52</v>
      </c>
      <c r="W14" s="37"/>
      <c r="X14" s="39"/>
      <c r="Y14" s="35">
        <v>9</v>
      </c>
      <c r="Z14" s="36">
        <v>117.88</v>
      </c>
      <c r="AA14" s="37"/>
      <c r="AB14" s="36">
        <v>101.06</v>
      </c>
      <c r="AC14" s="37"/>
      <c r="AE14" s="35">
        <v>9</v>
      </c>
      <c r="AF14" s="36">
        <v>65.510000000000005</v>
      </c>
      <c r="AG14" s="37"/>
      <c r="AH14" s="36">
        <v>56.92</v>
      </c>
      <c r="AI14" s="37"/>
      <c r="AK14" s="35">
        <v>9</v>
      </c>
      <c r="AL14" s="36">
        <v>28.59</v>
      </c>
      <c r="AM14" s="37"/>
      <c r="AN14" s="36">
        <v>24.95</v>
      </c>
      <c r="AO14" s="37"/>
      <c r="AP14" s="63"/>
      <c r="AQ14" s="35">
        <v>9</v>
      </c>
      <c r="AR14" s="36">
        <v>15.54</v>
      </c>
      <c r="AS14" s="37"/>
      <c r="AT14" s="36">
        <v>13.66</v>
      </c>
      <c r="AU14" s="37"/>
      <c r="AW14" s="40"/>
      <c r="AX14" s="35">
        <v>9</v>
      </c>
      <c r="AY14" s="36">
        <v>11.6</v>
      </c>
      <c r="AZ14" s="37"/>
      <c r="BA14" s="36">
        <v>10.48</v>
      </c>
      <c r="BB14" s="37"/>
    </row>
    <row r="15" spans="1:55" x14ac:dyDescent="0.35">
      <c r="A15" s="35">
        <v>10</v>
      </c>
      <c r="B15" s="36">
        <v>119.04</v>
      </c>
      <c r="C15" s="37"/>
      <c r="D15" s="36">
        <v>103.67</v>
      </c>
      <c r="E15" s="37"/>
      <c r="G15" s="35">
        <v>10</v>
      </c>
      <c r="H15" s="36">
        <v>65.64</v>
      </c>
      <c r="I15" s="37"/>
      <c r="J15" s="36">
        <v>57.89</v>
      </c>
      <c r="K15" s="37"/>
      <c r="L15" s="40"/>
      <c r="M15" s="35">
        <v>10</v>
      </c>
      <c r="N15" s="36">
        <v>28.6</v>
      </c>
      <c r="O15" s="37"/>
      <c r="P15" s="36">
        <v>25.34</v>
      </c>
      <c r="Q15" s="37"/>
      <c r="R15" s="61"/>
      <c r="S15" s="35">
        <v>10</v>
      </c>
      <c r="T15" s="36">
        <v>15.5</v>
      </c>
      <c r="U15" s="37"/>
      <c r="V15" s="36">
        <v>13.81</v>
      </c>
      <c r="W15" s="37"/>
      <c r="X15" s="39"/>
      <c r="Y15" s="35">
        <v>10</v>
      </c>
      <c r="Z15" s="36">
        <v>121.62</v>
      </c>
      <c r="AA15" s="37"/>
      <c r="AB15" s="36">
        <v>103.89</v>
      </c>
      <c r="AC15" s="37"/>
      <c r="AE15" s="35">
        <v>10</v>
      </c>
      <c r="AF15" s="36">
        <v>67.45</v>
      </c>
      <c r="AG15" s="37"/>
      <c r="AH15" s="36">
        <v>58.36</v>
      </c>
      <c r="AI15" s="37"/>
      <c r="AK15" s="35">
        <v>10</v>
      </c>
      <c r="AL15" s="36">
        <v>29.4</v>
      </c>
      <c r="AM15" s="37"/>
      <c r="AN15" s="36">
        <v>25.56</v>
      </c>
      <c r="AO15" s="37"/>
      <c r="AP15" s="63"/>
      <c r="AQ15" s="35">
        <v>10</v>
      </c>
      <c r="AR15" s="36">
        <v>15.97</v>
      </c>
      <c r="AS15" s="37"/>
      <c r="AT15" s="36">
        <v>13.98</v>
      </c>
      <c r="AU15" s="37"/>
      <c r="AW15" s="40"/>
      <c r="AX15" s="35">
        <v>10</v>
      </c>
      <c r="AY15" s="36">
        <v>11.87</v>
      </c>
      <c r="AZ15" s="37"/>
      <c r="BA15" s="36">
        <v>10.68</v>
      </c>
      <c r="BB15" s="37"/>
    </row>
    <row r="16" spans="1:55" x14ac:dyDescent="0.35">
      <c r="A16" s="35">
        <v>11</v>
      </c>
      <c r="B16" s="36">
        <v>122.76</v>
      </c>
      <c r="C16" s="37"/>
      <c r="D16" s="36">
        <v>106.4</v>
      </c>
      <c r="E16" s="37"/>
      <c r="G16" s="35">
        <v>11</v>
      </c>
      <c r="H16" s="36">
        <v>67.540000000000006</v>
      </c>
      <c r="I16" s="37"/>
      <c r="J16" s="36">
        <v>59.25</v>
      </c>
      <c r="K16" s="37"/>
      <c r="L16" s="40"/>
      <c r="M16" s="35">
        <v>11</v>
      </c>
      <c r="N16" s="36">
        <v>29.4</v>
      </c>
      <c r="O16" s="37"/>
      <c r="P16" s="36">
        <v>25.9</v>
      </c>
      <c r="Q16" s="37"/>
      <c r="R16" s="61"/>
      <c r="S16" s="35">
        <v>11</v>
      </c>
      <c r="T16" s="36">
        <v>15.91</v>
      </c>
      <c r="U16" s="37"/>
      <c r="V16" s="36">
        <v>14.11</v>
      </c>
      <c r="W16" s="37"/>
      <c r="X16" s="39"/>
      <c r="Y16" s="35">
        <v>11</v>
      </c>
      <c r="Z16" s="36">
        <v>125.53</v>
      </c>
      <c r="AA16" s="37"/>
      <c r="AB16" s="36">
        <v>106.95</v>
      </c>
      <c r="AC16" s="37"/>
      <c r="AE16" s="35">
        <v>11</v>
      </c>
      <c r="AF16" s="36">
        <v>69.48</v>
      </c>
      <c r="AG16" s="37"/>
      <c r="AH16" s="36">
        <v>59.94</v>
      </c>
      <c r="AI16" s="37"/>
      <c r="AK16" s="35">
        <v>11</v>
      </c>
      <c r="AL16" s="36">
        <v>30.25</v>
      </c>
      <c r="AM16" s="37"/>
      <c r="AN16" s="36">
        <v>26.22</v>
      </c>
      <c r="AO16" s="37"/>
      <c r="AP16" s="63"/>
      <c r="AQ16" s="35">
        <v>11</v>
      </c>
      <c r="AR16" s="36">
        <v>16.420000000000002</v>
      </c>
      <c r="AS16" s="37"/>
      <c r="AT16" s="36">
        <v>14.33</v>
      </c>
      <c r="AU16" s="37"/>
      <c r="AW16" s="40"/>
      <c r="AX16" s="35">
        <v>11</v>
      </c>
      <c r="AY16" s="36">
        <v>12.17</v>
      </c>
      <c r="AZ16" s="37"/>
      <c r="BA16" s="36">
        <v>10.89</v>
      </c>
      <c r="BB16" s="37"/>
    </row>
    <row r="17" spans="1:54" x14ac:dyDescent="0.35">
      <c r="A17" s="35">
        <v>12</v>
      </c>
      <c r="B17" s="36">
        <v>126.64</v>
      </c>
      <c r="C17" s="37"/>
      <c r="D17" s="36">
        <v>109.38</v>
      </c>
      <c r="E17" s="37"/>
      <c r="G17" s="35">
        <v>12</v>
      </c>
      <c r="H17" s="36">
        <v>69.52</v>
      </c>
      <c r="I17" s="37"/>
      <c r="J17" s="36">
        <v>60.76</v>
      </c>
      <c r="K17" s="37"/>
      <c r="L17" s="40"/>
      <c r="M17" s="35">
        <v>12</v>
      </c>
      <c r="N17" s="36">
        <v>30.23</v>
      </c>
      <c r="O17" s="37"/>
      <c r="P17" s="36">
        <v>26.53</v>
      </c>
      <c r="Q17" s="37"/>
      <c r="R17" s="61"/>
      <c r="S17" s="35">
        <v>12</v>
      </c>
      <c r="T17" s="36">
        <v>16.34</v>
      </c>
      <c r="U17" s="37"/>
      <c r="V17" s="36">
        <v>14.43</v>
      </c>
      <c r="W17" s="37"/>
      <c r="X17" s="39"/>
      <c r="Y17" s="35">
        <v>12</v>
      </c>
      <c r="Z17" s="36">
        <v>129.65</v>
      </c>
      <c r="AA17" s="37"/>
      <c r="AB17" s="36">
        <v>110.29</v>
      </c>
      <c r="AC17" s="37"/>
      <c r="AE17" s="35">
        <v>12</v>
      </c>
      <c r="AF17" s="36">
        <v>71.62</v>
      </c>
      <c r="AG17" s="37"/>
      <c r="AH17" s="36">
        <v>61.67</v>
      </c>
      <c r="AI17" s="37"/>
      <c r="AK17" s="35">
        <v>12</v>
      </c>
      <c r="AL17" s="36">
        <v>31.15</v>
      </c>
      <c r="AM17" s="37"/>
      <c r="AN17" s="36">
        <v>26.94</v>
      </c>
      <c r="AO17" s="37"/>
      <c r="AP17" s="63"/>
      <c r="AQ17" s="35">
        <v>12</v>
      </c>
      <c r="AR17" s="36">
        <v>16.89</v>
      </c>
      <c r="AS17" s="37"/>
      <c r="AT17" s="36">
        <v>14.7</v>
      </c>
      <c r="AU17" s="37"/>
      <c r="AW17" s="40"/>
      <c r="AX17" s="35">
        <v>12</v>
      </c>
      <c r="AY17" s="36">
        <v>12.49</v>
      </c>
      <c r="AZ17" s="37"/>
      <c r="BA17" s="36">
        <v>11.12</v>
      </c>
      <c r="BB17" s="37"/>
    </row>
    <row r="18" spans="1:54" x14ac:dyDescent="0.35">
      <c r="A18" s="35">
        <v>13</v>
      </c>
      <c r="B18" s="36">
        <v>130.69</v>
      </c>
      <c r="C18" s="37"/>
      <c r="D18" s="36">
        <v>112.32</v>
      </c>
      <c r="E18" s="37"/>
      <c r="G18" s="35">
        <v>13</v>
      </c>
      <c r="H18" s="36">
        <v>71.59</v>
      </c>
      <c r="I18" s="37"/>
      <c r="J18" s="36">
        <v>62.23</v>
      </c>
      <c r="K18" s="37"/>
      <c r="L18" s="40"/>
      <c r="M18" s="35">
        <v>13</v>
      </c>
      <c r="N18" s="36">
        <v>31.1</v>
      </c>
      <c r="O18" s="37"/>
      <c r="P18" s="36">
        <v>27.15</v>
      </c>
      <c r="Q18" s="37"/>
      <c r="R18" s="61"/>
      <c r="S18" s="35">
        <v>13</v>
      </c>
      <c r="T18" s="36">
        <v>16.809999999999999</v>
      </c>
      <c r="U18" s="37"/>
      <c r="V18" s="36">
        <v>14.76</v>
      </c>
      <c r="W18" s="37"/>
      <c r="X18" s="39"/>
      <c r="Y18" s="35">
        <v>13</v>
      </c>
      <c r="Z18" s="36">
        <v>133.97</v>
      </c>
      <c r="AA18" s="37"/>
      <c r="AB18" s="36">
        <v>113.74</v>
      </c>
      <c r="AC18" s="37"/>
      <c r="AE18" s="35">
        <v>13</v>
      </c>
      <c r="AF18" s="36">
        <v>73.87</v>
      </c>
      <c r="AG18" s="37"/>
      <c r="AH18" s="36">
        <v>63.45</v>
      </c>
      <c r="AI18" s="37"/>
      <c r="AK18" s="35">
        <v>13</v>
      </c>
      <c r="AL18" s="36">
        <v>32.1</v>
      </c>
      <c r="AM18" s="37"/>
      <c r="AN18" s="36">
        <v>27.7</v>
      </c>
      <c r="AO18" s="37"/>
      <c r="AP18" s="63"/>
      <c r="AQ18" s="35">
        <v>13</v>
      </c>
      <c r="AR18" s="36">
        <v>17.399999999999999</v>
      </c>
      <c r="AS18" s="37"/>
      <c r="AT18" s="36">
        <v>15.11</v>
      </c>
      <c r="AU18" s="37"/>
      <c r="AW18" s="40"/>
      <c r="AX18" s="35">
        <v>13</v>
      </c>
      <c r="AY18" s="36">
        <v>12.82</v>
      </c>
      <c r="AZ18" s="37"/>
      <c r="BA18" s="36">
        <v>11.35</v>
      </c>
      <c r="BB18" s="37"/>
    </row>
    <row r="19" spans="1:54" x14ac:dyDescent="0.35">
      <c r="A19" s="35">
        <v>14</v>
      </c>
      <c r="B19" s="36">
        <v>135</v>
      </c>
      <c r="C19" s="37"/>
      <c r="D19" s="36">
        <v>115.48</v>
      </c>
      <c r="E19" s="37"/>
      <c r="G19" s="35">
        <v>14</v>
      </c>
      <c r="H19" s="36">
        <v>73.81</v>
      </c>
      <c r="I19" s="37"/>
      <c r="J19" s="36">
        <v>63.77</v>
      </c>
      <c r="K19" s="37"/>
      <c r="L19" s="40"/>
      <c r="M19" s="35">
        <v>14</v>
      </c>
      <c r="N19" s="36">
        <v>32.020000000000003</v>
      </c>
      <c r="O19" s="37"/>
      <c r="P19" s="36">
        <v>27.82</v>
      </c>
      <c r="Q19" s="37"/>
      <c r="R19" s="61"/>
      <c r="S19" s="35">
        <v>14</v>
      </c>
      <c r="T19" s="36">
        <v>17.3</v>
      </c>
      <c r="U19" s="37"/>
      <c r="V19" s="36">
        <v>15.1</v>
      </c>
      <c r="W19" s="37"/>
      <c r="X19" s="39"/>
      <c r="Y19" s="35">
        <v>14</v>
      </c>
      <c r="Z19" s="36">
        <v>138.51</v>
      </c>
      <c r="AA19" s="37"/>
      <c r="AB19" s="36">
        <v>117.37</v>
      </c>
      <c r="AC19" s="37"/>
      <c r="AE19" s="35">
        <v>14</v>
      </c>
      <c r="AF19" s="36">
        <v>76.239999999999995</v>
      </c>
      <c r="AG19" s="37"/>
      <c r="AH19" s="36">
        <v>65.290000000000006</v>
      </c>
      <c r="AI19" s="37"/>
      <c r="AK19" s="35">
        <v>14</v>
      </c>
      <c r="AL19" s="36">
        <v>33.090000000000003</v>
      </c>
      <c r="AM19" s="37"/>
      <c r="AN19" s="36">
        <v>28.49</v>
      </c>
      <c r="AO19" s="37"/>
      <c r="AP19" s="63"/>
      <c r="AQ19" s="35">
        <v>14</v>
      </c>
      <c r="AR19" s="36">
        <v>17.940000000000001</v>
      </c>
      <c r="AS19" s="37"/>
      <c r="AT19" s="36">
        <v>15.52</v>
      </c>
      <c r="AU19" s="37"/>
      <c r="AW19" s="40"/>
      <c r="AX19" s="35">
        <v>14</v>
      </c>
      <c r="AY19" s="36">
        <v>13.18</v>
      </c>
      <c r="AZ19" s="37"/>
      <c r="BA19" s="36">
        <v>11.59</v>
      </c>
      <c r="BB19" s="37"/>
    </row>
    <row r="20" spans="1:54" x14ac:dyDescent="0.35">
      <c r="A20" s="35">
        <v>15</v>
      </c>
      <c r="B20" s="36">
        <v>139.33000000000001</v>
      </c>
      <c r="C20" s="37"/>
      <c r="D20" s="36">
        <v>118.82</v>
      </c>
      <c r="E20" s="37"/>
      <c r="G20" s="35">
        <v>15</v>
      </c>
      <c r="H20" s="36">
        <v>76.03</v>
      </c>
      <c r="I20" s="37"/>
      <c r="J20" s="36">
        <v>65.47</v>
      </c>
      <c r="K20" s="37"/>
      <c r="L20" s="40"/>
      <c r="M20" s="35">
        <v>15</v>
      </c>
      <c r="N20" s="36">
        <v>32.96</v>
      </c>
      <c r="O20" s="37"/>
      <c r="P20" s="36">
        <v>28.52</v>
      </c>
      <c r="Q20" s="37"/>
      <c r="R20" s="61"/>
      <c r="S20" s="35">
        <v>15</v>
      </c>
      <c r="T20" s="36">
        <v>17.79</v>
      </c>
      <c r="U20" s="37"/>
      <c r="V20" s="36">
        <v>15.46</v>
      </c>
      <c r="W20" s="37"/>
      <c r="X20" s="39"/>
      <c r="Y20" s="35">
        <v>15</v>
      </c>
      <c r="Z20" s="36">
        <v>143.18</v>
      </c>
      <c r="AA20" s="37"/>
      <c r="AB20" s="36">
        <v>121.13</v>
      </c>
      <c r="AC20" s="37"/>
      <c r="AE20" s="35">
        <v>15</v>
      </c>
      <c r="AF20" s="36">
        <v>78.69</v>
      </c>
      <c r="AG20" s="37"/>
      <c r="AH20" s="36">
        <v>67.25</v>
      </c>
      <c r="AI20" s="37"/>
      <c r="AK20" s="35">
        <v>15</v>
      </c>
      <c r="AL20" s="36">
        <v>34.119999999999997</v>
      </c>
      <c r="AM20" s="37"/>
      <c r="AN20" s="36">
        <v>29.31</v>
      </c>
      <c r="AO20" s="37"/>
      <c r="AP20" s="63"/>
      <c r="AQ20" s="35">
        <v>15</v>
      </c>
      <c r="AR20" s="36">
        <v>18.489999999999998</v>
      </c>
      <c r="AS20" s="37"/>
      <c r="AT20" s="36">
        <v>15.96</v>
      </c>
      <c r="AU20" s="37"/>
      <c r="AW20" s="40"/>
      <c r="AX20" s="35">
        <v>15</v>
      </c>
      <c r="AY20" s="36">
        <v>13.54</v>
      </c>
      <c r="AZ20" s="37"/>
      <c r="BA20" s="36">
        <v>11.85</v>
      </c>
      <c r="BB20" s="37"/>
    </row>
    <row r="21" spans="1:54" x14ac:dyDescent="0.35">
      <c r="A21" s="35">
        <v>16</v>
      </c>
      <c r="B21" s="36">
        <v>143.82</v>
      </c>
      <c r="C21" s="37"/>
      <c r="D21" s="36">
        <v>122.13</v>
      </c>
      <c r="E21" s="37"/>
      <c r="G21" s="35">
        <v>16</v>
      </c>
      <c r="H21" s="36">
        <v>78.34</v>
      </c>
      <c r="I21" s="37"/>
      <c r="J21" s="36">
        <v>67.150000000000006</v>
      </c>
      <c r="K21" s="37"/>
      <c r="L21" s="40"/>
      <c r="M21" s="35">
        <v>16</v>
      </c>
      <c r="N21" s="36">
        <v>33.93</v>
      </c>
      <c r="O21" s="37"/>
      <c r="P21" s="36">
        <v>29.22</v>
      </c>
      <c r="Q21" s="37"/>
      <c r="R21" s="61"/>
      <c r="S21" s="35">
        <v>16</v>
      </c>
      <c r="T21" s="36">
        <v>18.29</v>
      </c>
      <c r="U21" s="37"/>
      <c r="V21" s="36">
        <v>15.82</v>
      </c>
      <c r="W21" s="37"/>
      <c r="X21" s="39"/>
      <c r="Y21" s="35">
        <v>16</v>
      </c>
      <c r="Z21" s="36">
        <v>148.03</v>
      </c>
      <c r="AA21" s="37"/>
      <c r="AB21" s="36">
        <v>125.07</v>
      </c>
      <c r="AC21" s="37"/>
      <c r="AE21" s="35">
        <v>16</v>
      </c>
      <c r="AF21" s="36">
        <v>81.23</v>
      </c>
      <c r="AG21" s="37"/>
      <c r="AH21" s="36">
        <v>69.3</v>
      </c>
      <c r="AI21" s="37"/>
      <c r="AK21" s="35">
        <v>16</v>
      </c>
      <c r="AL21" s="36">
        <v>35.19</v>
      </c>
      <c r="AM21" s="37"/>
      <c r="AN21" s="36">
        <v>30.17</v>
      </c>
      <c r="AO21" s="37"/>
      <c r="AP21" s="63"/>
      <c r="AQ21" s="35">
        <v>16</v>
      </c>
      <c r="AR21" s="36">
        <v>19.059999999999999</v>
      </c>
      <c r="AS21" s="37"/>
      <c r="AT21" s="36">
        <v>16.41</v>
      </c>
      <c r="AU21" s="37"/>
      <c r="AW21" s="40"/>
      <c r="AX21" s="35">
        <v>16</v>
      </c>
      <c r="AY21" s="36">
        <v>13.9</v>
      </c>
      <c r="AZ21" s="37"/>
      <c r="BA21" s="36">
        <v>12.11</v>
      </c>
      <c r="BB21" s="37"/>
    </row>
    <row r="22" spans="1:54" x14ac:dyDescent="0.35">
      <c r="A22" s="35">
        <v>17</v>
      </c>
      <c r="B22" s="36">
        <v>148.52000000000001</v>
      </c>
      <c r="C22" s="37"/>
      <c r="D22" s="36">
        <v>125.64</v>
      </c>
      <c r="E22" s="37"/>
      <c r="G22" s="35">
        <v>17</v>
      </c>
      <c r="H22" s="36">
        <v>80.75</v>
      </c>
      <c r="I22" s="37"/>
      <c r="J22" s="36">
        <v>68.94</v>
      </c>
      <c r="K22" s="37"/>
      <c r="L22" s="40"/>
      <c r="M22" s="35">
        <v>17</v>
      </c>
      <c r="N22" s="36">
        <v>34.950000000000003</v>
      </c>
      <c r="O22" s="37"/>
      <c r="P22" s="36">
        <v>29.97</v>
      </c>
      <c r="Q22" s="37"/>
      <c r="R22" s="61"/>
      <c r="S22" s="35">
        <v>17</v>
      </c>
      <c r="T22" s="36">
        <v>18.84</v>
      </c>
      <c r="U22" s="37"/>
      <c r="V22" s="36">
        <v>16.21</v>
      </c>
      <c r="W22" s="37"/>
      <c r="X22" s="39"/>
      <c r="Y22" s="35">
        <v>17</v>
      </c>
      <c r="Z22" s="36">
        <v>153.09</v>
      </c>
      <c r="AA22" s="37"/>
      <c r="AB22" s="36">
        <v>129.19</v>
      </c>
      <c r="AC22" s="37"/>
      <c r="AE22" s="35">
        <v>17</v>
      </c>
      <c r="AF22" s="36">
        <v>83.88</v>
      </c>
      <c r="AG22" s="37"/>
      <c r="AH22" s="36">
        <v>71.47</v>
      </c>
      <c r="AI22" s="37"/>
      <c r="AK22" s="35">
        <v>17</v>
      </c>
      <c r="AL22" s="36">
        <v>36.31</v>
      </c>
      <c r="AM22" s="37"/>
      <c r="AN22" s="36">
        <v>31.08</v>
      </c>
      <c r="AO22" s="37"/>
      <c r="AP22" s="63"/>
      <c r="AQ22" s="35">
        <v>17</v>
      </c>
      <c r="AR22" s="36">
        <v>19.66</v>
      </c>
      <c r="AS22" s="37"/>
      <c r="AT22" s="36">
        <v>16.89</v>
      </c>
      <c r="AU22" s="37"/>
      <c r="AW22" s="40"/>
      <c r="AX22" s="35">
        <v>17</v>
      </c>
      <c r="AY22" s="36">
        <v>14.3</v>
      </c>
      <c r="AZ22" s="37"/>
      <c r="BA22" s="36">
        <v>12.38</v>
      </c>
      <c r="BB22" s="37"/>
    </row>
    <row r="23" spans="1:54" x14ac:dyDescent="0.35">
      <c r="A23" s="35">
        <v>18</v>
      </c>
      <c r="B23" s="36">
        <v>153.44</v>
      </c>
      <c r="C23" s="37"/>
      <c r="D23" s="36">
        <v>129.34</v>
      </c>
      <c r="E23" s="37"/>
      <c r="G23" s="35">
        <v>18</v>
      </c>
      <c r="H23" s="36">
        <v>83.28</v>
      </c>
      <c r="I23" s="37"/>
      <c r="J23" s="36">
        <v>70.819999999999993</v>
      </c>
      <c r="K23" s="37"/>
      <c r="L23" s="40"/>
      <c r="M23" s="35">
        <v>18</v>
      </c>
      <c r="N23" s="36">
        <v>36.01</v>
      </c>
      <c r="O23" s="37"/>
      <c r="P23" s="36">
        <v>30.75</v>
      </c>
      <c r="Q23" s="37"/>
      <c r="R23" s="61"/>
      <c r="S23" s="35">
        <v>18</v>
      </c>
      <c r="T23" s="36">
        <v>19.399999999999999</v>
      </c>
      <c r="U23" s="37"/>
      <c r="V23" s="36">
        <v>16.62</v>
      </c>
      <c r="W23" s="37"/>
      <c r="X23" s="39"/>
      <c r="Y23" s="35">
        <v>18</v>
      </c>
      <c r="Z23" s="36">
        <v>158.31</v>
      </c>
      <c r="AA23" s="37"/>
      <c r="AB23" s="36">
        <v>133.56</v>
      </c>
      <c r="AC23" s="37"/>
      <c r="AE23" s="35">
        <v>18</v>
      </c>
      <c r="AF23" s="36">
        <v>86.63</v>
      </c>
      <c r="AG23" s="37"/>
      <c r="AH23" s="36">
        <v>73.75</v>
      </c>
      <c r="AI23" s="37"/>
      <c r="AK23" s="35">
        <v>18</v>
      </c>
      <c r="AL23" s="36">
        <v>37.47</v>
      </c>
      <c r="AM23" s="37"/>
      <c r="AN23" s="36">
        <v>32.04</v>
      </c>
      <c r="AO23" s="37"/>
      <c r="AP23" s="63"/>
      <c r="AQ23" s="35">
        <v>18</v>
      </c>
      <c r="AR23" s="36">
        <v>20.27</v>
      </c>
      <c r="AS23" s="37"/>
      <c r="AT23" s="36">
        <v>17.399999999999999</v>
      </c>
      <c r="AU23" s="37"/>
      <c r="AW23" s="40"/>
      <c r="AX23" s="35">
        <v>18</v>
      </c>
      <c r="AY23" s="36">
        <v>14.7</v>
      </c>
      <c r="AZ23" s="37"/>
      <c r="BA23" s="36">
        <v>12.67</v>
      </c>
      <c r="BB23" s="37"/>
    </row>
    <row r="24" spans="1:54" x14ac:dyDescent="0.35">
      <c r="A24" s="35">
        <v>19</v>
      </c>
      <c r="B24" s="36">
        <v>158.51</v>
      </c>
      <c r="C24" s="37"/>
      <c r="D24" s="36">
        <v>133.07</v>
      </c>
      <c r="E24" s="37"/>
      <c r="G24" s="35">
        <v>19</v>
      </c>
      <c r="H24" s="36">
        <v>85.89</v>
      </c>
      <c r="I24" s="37"/>
      <c r="J24" s="36">
        <v>72.72</v>
      </c>
      <c r="K24" s="37"/>
      <c r="L24" s="40"/>
      <c r="M24" s="35">
        <v>19</v>
      </c>
      <c r="N24" s="36">
        <v>37.11</v>
      </c>
      <c r="O24" s="37"/>
      <c r="P24" s="36">
        <v>31.54</v>
      </c>
      <c r="Q24" s="37"/>
      <c r="R24" s="61"/>
      <c r="S24" s="35">
        <v>19</v>
      </c>
      <c r="T24" s="36">
        <v>19.98</v>
      </c>
      <c r="U24" s="37"/>
      <c r="V24" s="36">
        <v>17.03</v>
      </c>
      <c r="W24" s="37"/>
      <c r="X24" s="39"/>
      <c r="Y24" s="35">
        <v>19</v>
      </c>
      <c r="Z24" s="36">
        <v>163.82</v>
      </c>
      <c r="AA24" s="37"/>
      <c r="AB24" s="36">
        <v>138.08000000000001</v>
      </c>
      <c r="AC24" s="37"/>
      <c r="AE24" s="35">
        <v>19</v>
      </c>
      <c r="AF24" s="36">
        <v>89.52</v>
      </c>
      <c r="AG24" s="37"/>
      <c r="AH24" s="36">
        <v>76.13</v>
      </c>
      <c r="AI24" s="37"/>
      <c r="AK24" s="35">
        <v>19</v>
      </c>
      <c r="AL24" s="36">
        <v>38.69</v>
      </c>
      <c r="AM24" s="37"/>
      <c r="AN24" s="36">
        <v>33.04</v>
      </c>
      <c r="AO24" s="37"/>
      <c r="AP24" s="63"/>
      <c r="AQ24" s="35">
        <v>19</v>
      </c>
      <c r="AR24" s="36">
        <v>20.92</v>
      </c>
      <c r="AS24" s="37"/>
      <c r="AT24" s="36">
        <v>17.93</v>
      </c>
      <c r="AU24" s="37"/>
      <c r="AW24" s="40"/>
      <c r="AX24" s="35">
        <v>19</v>
      </c>
      <c r="AY24" s="36">
        <v>15.12</v>
      </c>
      <c r="AZ24" s="37"/>
      <c r="BA24" s="36">
        <v>12.97</v>
      </c>
      <c r="BB24" s="37"/>
    </row>
    <row r="25" spans="1:54" x14ac:dyDescent="0.35">
      <c r="A25" s="35">
        <v>20</v>
      </c>
      <c r="B25" s="36">
        <v>163.72</v>
      </c>
      <c r="C25" s="37"/>
      <c r="D25" s="36">
        <v>137.37</v>
      </c>
      <c r="E25" s="37"/>
      <c r="G25" s="35">
        <v>20</v>
      </c>
      <c r="H25" s="36">
        <v>88.59</v>
      </c>
      <c r="I25" s="37"/>
      <c r="J25" s="36">
        <v>74.92</v>
      </c>
      <c r="K25" s="37"/>
      <c r="L25" s="40"/>
      <c r="M25" s="35">
        <v>20</v>
      </c>
      <c r="N25" s="36">
        <v>38.25</v>
      </c>
      <c r="O25" s="37"/>
      <c r="P25" s="36">
        <v>32.47</v>
      </c>
      <c r="Q25" s="37"/>
      <c r="R25" s="61"/>
      <c r="S25" s="35">
        <v>20</v>
      </c>
      <c r="T25" s="36">
        <v>20.7</v>
      </c>
      <c r="U25" s="37"/>
      <c r="V25" s="36">
        <v>17.52</v>
      </c>
      <c r="W25" s="37"/>
      <c r="X25" s="39"/>
      <c r="Y25" s="35">
        <v>20</v>
      </c>
      <c r="Z25" s="36">
        <v>169.54</v>
      </c>
      <c r="AA25" s="37"/>
      <c r="AB25" s="36">
        <v>142.85</v>
      </c>
      <c r="AC25" s="37"/>
      <c r="AE25" s="35">
        <v>20</v>
      </c>
      <c r="AF25" s="36">
        <v>92.55</v>
      </c>
      <c r="AG25" s="37"/>
      <c r="AH25" s="36">
        <v>78.64</v>
      </c>
      <c r="AI25" s="37"/>
      <c r="AK25" s="35">
        <v>20</v>
      </c>
      <c r="AL25" s="36">
        <v>39.97</v>
      </c>
      <c r="AM25" s="37"/>
      <c r="AN25" s="36">
        <v>34.1</v>
      </c>
      <c r="AO25" s="37"/>
      <c r="AP25" s="63"/>
      <c r="AQ25" s="35">
        <v>20</v>
      </c>
      <c r="AR25" s="36">
        <v>21.61</v>
      </c>
      <c r="AS25" s="37"/>
      <c r="AT25" s="36">
        <v>18.489999999999998</v>
      </c>
      <c r="AU25" s="37"/>
      <c r="AW25" s="40"/>
      <c r="AX25" s="35">
        <v>20</v>
      </c>
      <c r="AY25" s="36">
        <v>15.56</v>
      </c>
      <c r="AZ25" s="37"/>
      <c r="BA25" s="36">
        <v>13.31</v>
      </c>
      <c r="BB25" s="37"/>
    </row>
    <row r="26" spans="1:54" x14ac:dyDescent="0.35">
      <c r="A26" s="35">
        <v>21</v>
      </c>
      <c r="B26" s="36">
        <v>169.22</v>
      </c>
      <c r="C26" s="37"/>
      <c r="D26" s="36">
        <v>141.99</v>
      </c>
      <c r="E26" s="37"/>
      <c r="G26" s="35">
        <v>21</v>
      </c>
      <c r="H26" s="36">
        <v>91.43</v>
      </c>
      <c r="I26" s="37"/>
      <c r="J26" s="36">
        <v>77.3</v>
      </c>
      <c r="K26" s="37"/>
      <c r="L26" s="40"/>
      <c r="M26" s="35">
        <v>21</v>
      </c>
      <c r="N26" s="36">
        <v>39.44</v>
      </c>
      <c r="O26" s="37"/>
      <c r="P26" s="36">
        <v>33.450000000000003</v>
      </c>
      <c r="Q26" s="37"/>
      <c r="R26" s="61"/>
      <c r="S26" s="35">
        <v>21</v>
      </c>
      <c r="T26" s="36">
        <v>21.34</v>
      </c>
      <c r="U26" s="37"/>
      <c r="V26" s="36">
        <v>18.04</v>
      </c>
      <c r="W26" s="37"/>
      <c r="X26" s="39"/>
      <c r="Y26" s="35">
        <v>21</v>
      </c>
      <c r="Z26" s="36">
        <v>175.53</v>
      </c>
      <c r="AA26" s="37"/>
      <c r="AB26" s="36">
        <v>147.91</v>
      </c>
      <c r="AC26" s="37"/>
      <c r="AE26" s="35">
        <v>21</v>
      </c>
      <c r="AF26" s="36">
        <v>95.72</v>
      </c>
      <c r="AG26" s="37"/>
      <c r="AH26" s="36">
        <v>81.319999999999993</v>
      </c>
      <c r="AI26" s="37"/>
      <c r="AK26" s="35">
        <v>21</v>
      </c>
      <c r="AL26" s="36">
        <v>41.3</v>
      </c>
      <c r="AM26" s="37"/>
      <c r="AN26" s="36">
        <v>35.200000000000003</v>
      </c>
      <c r="AO26" s="37"/>
      <c r="AP26" s="63"/>
      <c r="AQ26" s="35">
        <v>21</v>
      </c>
      <c r="AR26" s="36">
        <v>22.48</v>
      </c>
      <c r="AS26" s="37"/>
      <c r="AT26" s="36">
        <v>19.09</v>
      </c>
      <c r="AU26" s="37"/>
      <c r="AW26" s="40"/>
      <c r="AX26" s="35">
        <v>21</v>
      </c>
      <c r="AY26" s="36">
        <v>16.010000000000002</v>
      </c>
      <c r="AZ26" s="37"/>
      <c r="BA26" s="36">
        <v>13.69</v>
      </c>
      <c r="BB26" s="37"/>
    </row>
    <row r="27" spans="1:54" x14ac:dyDescent="0.35">
      <c r="A27" s="35">
        <v>22</v>
      </c>
      <c r="B27" s="36">
        <v>174.87</v>
      </c>
      <c r="C27" s="37"/>
      <c r="D27" s="36">
        <v>146.66</v>
      </c>
      <c r="E27" s="37"/>
      <c r="G27" s="35">
        <v>22</v>
      </c>
      <c r="H27" s="36">
        <v>94.35</v>
      </c>
      <c r="I27" s="37"/>
      <c r="J27" s="36">
        <v>79.709999999999994</v>
      </c>
      <c r="K27" s="37"/>
      <c r="L27" s="40"/>
      <c r="M27" s="35">
        <v>22</v>
      </c>
      <c r="N27" s="36">
        <v>40.67</v>
      </c>
      <c r="O27" s="37"/>
      <c r="P27" s="36">
        <v>34.46</v>
      </c>
      <c r="Q27" s="37"/>
      <c r="R27" s="61"/>
      <c r="S27" s="35">
        <v>22</v>
      </c>
      <c r="T27" s="36">
        <v>22</v>
      </c>
      <c r="U27" s="37"/>
      <c r="V27" s="36">
        <v>18.559999999999999</v>
      </c>
      <c r="W27" s="37"/>
      <c r="X27" s="39"/>
      <c r="Y27" s="35">
        <v>22</v>
      </c>
      <c r="Z27" s="36">
        <v>181.8</v>
      </c>
      <c r="AA27" s="37"/>
      <c r="AB27" s="36">
        <v>153.11000000000001</v>
      </c>
      <c r="AC27" s="37"/>
      <c r="AE27" s="35">
        <v>22</v>
      </c>
      <c r="AF27" s="36">
        <v>99.04</v>
      </c>
      <c r="AG27" s="37"/>
      <c r="AH27" s="36">
        <v>84.06</v>
      </c>
      <c r="AI27" s="37"/>
      <c r="AK27" s="35">
        <v>22</v>
      </c>
      <c r="AL27" s="36">
        <v>42.7</v>
      </c>
      <c r="AM27" s="37"/>
      <c r="AN27" s="36">
        <v>36.36</v>
      </c>
      <c r="AO27" s="37"/>
      <c r="AP27" s="63"/>
      <c r="AQ27" s="35">
        <v>22</v>
      </c>
      <c r="AR27" s="36">
        <v>23.24</v>
      </c>
      <c r="AS27" s="37"/>
      <c r="AT27" s="36">
        <v>19.7</v>
      </c>
      <c r="AU27" s="37"/>
      <c r="AW27" s="40"/>
      <c r="AX27" s="35">
        <v>22</v>
      </c>
      <c r="AY27" s="36">
        <v>16.48</v>
      </c>
      <c r="AZ27" s="37"/>
      <c r="BA27" s="36">
        <v>14.07</v>
      </c>
      <c r="BB27" s="37"/>
    </row>
    <row r="28" spans="1:54" x14ac:dyDescent="0.35">
      <c r="A28" s="35">
        <v>23</v>
      </c>
      <c r="B28" s="36">
        <v>180.75</v>
      </c>
      <c r="C28" s="37"/>
      <c r="D28" s="36">
        <v>151.58000000000001</v>
      </c>
      <c r="E28" s="37"/>
      <c r="G28" s="35">
        <v>23</v>
      </c>
      <c r="H28" s="36">
        <v>97.39</v>
      </c>
      <c r="I28" s="37"/>
      <c r="J28" s="36">
        <v>82.25</v>
      </c>
      <c r="K28" s="37"/>
      <c r="L28" s="40"/>
      <c r="M28" s="35">
        <v>23</v>
      </c>
      <c r="N28" s="36">
        <v>41.95</v>
      </c>
      <c r="O28" s="37"/>
      <c r="P28" s="36">
        <v>35.520000000000003</v>
      </c>
      <c r="Q28" s="37"/>
      <c r="R28" s="61"/>
      <c r="S28" s="35">
        <v>23</v>
      </c>
      <c r="T28" s="36">
        <v>22.68</v>
      </c>
      <c r="U28" s="37"/>
      <c r="V28" s="36">
        <v>19.12</v>
      </c>
      <c r="W28" s="37"/>
      <c r="X28" s="39"/>
      <c r="Y28" s="35">
        <v>23</v>
      </c>
      <c r="Z28" s="36">
        <v>188.33</v>
      </c>
      <c r="AA28" s="37"/>
      <c r="AB28" s="36">
        <v>158.59</v>
      </c>
      <c r="AC28" s="37"/>
      <c r="AE28" s="35">
        <v>23</v>
      </c>
      <c r="AF28" s="36">
        <v>102.5</v>
      </c>
      <c r="AG28" s="37"/>
      <c r="AH28" s="36">
        <v>86.96</v>
      </c>
      <c r="AI28" s="37"/>
      <c r="AK28" s="35">
        <v>23</v>
      </c>
      <c r="AL28" s="36">
        <v>44.16</v>
      </c>
      <c r="AM28" s="37"/>
      <c r="AN28" s="36">
        <v>37.58</v>
      </c>
      <c r="AO28" s="37"/>
      <c r="AP28" s="63"/>
      <c r="AQ28" s="35">
        <v>23</v>
      </c>
      <c r="AR28" s="36">
        <v>24.04</v>
      </c>
      <c r="AS28" s="37"/>
      <c r="AT28" s="36">
        <v>20.36</v>
      </c>
      <c r="AU28" s="37"/>
      <c r="AW28" s="40"/>
      <c r="AX28" s="35">
        <v>23</v>
      </c>
      <c r="AY28" s="36">
        <v>16.96</v>
      </c>
      <c r="AZ28" s="37"/>
      <c r="BA28" s="36">
        <v>14.47</v>
      </c>
      <c r="BB28" s="37"/>
    </row>
    <row r="29" spans="1:54" x14ac:dyDescent="0.35">
      <c r="A29" s="35">
        <v>24</v>
      </c>
      <c r="B29" s="36">
        <v>186.94</v>
      </c>
      <c r="C29" s="37"/>
      <c r="D29" s="36">
        <v>156.72</v>
      </c>
      <c r="E29" s="37"/>
      <c r="G29" s="35">
        <v>24</v>
      </c>
      <c r="H29" s="36">
        <v>100.58</v>
      </c>
      <c r="I29" s="37"/>
      <c r="J29" s="36">
        <v>84.9</v>
      </c>
      <c r="K29" s="37"/>
      <c r="L29" s="40"/>
      <c r="M29" s="35">
        <v>24</v>
      </c>
      <c r="N29" s="36">
        <v>43.29</v>
      </c>
      <c r="O29" s="37"/>
      <c r="P29" s="36">
        <v>36.630000000000003</v>
      </c>
      <c r="Q29" s="37"/>
      <c r="R29" s="61"/>
      <c r="S29" s="35">
        <v>24</v>
      </c>
      <c r="T29" s="36">
        <v>23.41</v>
      </c>
      <c r="U29" s="37"/>
      <c r="V29" s="36">
        <v>19.7</v>
      </c>
      <c r="W29" s="37"/>
      <c r="X29" s="39"/>
      <c r="Y29" s="35">
        <v>24</v>
      </c>
      <c r="Z29" s="36">
        <v>195</v>
      </c>
      <c r="AA29" s="37"/>
      <c r="AB29" s="36">
        <v>164.31</v>
      </c>
      <c r="AC29" s="37"/>
      <c r="AE29" s="35">
        <v>24</v>
      </c>
      <c r="AF29" s="36">
        <v>106.05</v>
      </c>
      <c r="AG29" s="37"/>
      <c r="AH29" s="36">
        <v>90</v>
      </c>
      <c r="AI29" s="37"/>
      <c r="AK29" s="35">
        <v>24</v>
      </c>
      <c r="AL29" s="36">
        <v>45.65</v>
      </c>
      <c r="AM29" s="37"/>
      <c r="AN29" s="36">
        <v>38.86</v>
      </c>
      <c r="AO29" s="37"/>
      <c r="AP29" s="63"/>
      <c r="AQ29" s="35">
        <v>24</v>
      </c>
      <c r="AR29" s="36">
        <v>24.86</v>
      </c>
      <c r="AS29" s="37"/>
      <c r="AT29" s="36">
        <v>21.04</v>
      </c>
      <c r="AU29" s="37"/>
      <c r="AW29" s="40"/>
      <c r="AX29" s="35">
        <v>24</v>
      </c>
      <c r="AY29" s="36">
        <v>17.47</v>
      </c>
      <c r="AZ29" s="37"/>
      <c r="BA29" s="36">
        <v>14.88</v>
      </c>
      <c r="BB29" s="37"/>
    </row>
    <row r="30" spans="1:54" x14ac:dyDescent="0.35">
      <c r="A30" s="35">
        <v>25</v>
      </c>
      <c r="B30" s="36">
        <v>193.31</v>
      </c>
      <c r="C30" s="37"/>
      <c r="D30" s="36">
        <v>162.01</v>
      </c>
      <c r="E30" s="37"/>
      <c r="G30" s="35">
        <v>25</v>
      </c>
      <c r="H30" s="36">
        <v>103.89</v>
      </c>
      <c r="I30" s="37"/>
      <c r="J30" s="36">
        <v>87.62</v>
      </c>
      <c r="K30" s="37"/>
      <c r="L30" s="40"/>
      <c r="M30" s="35">
        <v>25</v>
      </c>
      <c r="N30" s="36">
        <v>44.67</v>
      </c>
      <c r="O30" s="37"/>
      <c r="P30" s="36">
        <v>37.78</v>
      </c>
      <c r="Q30" s="37"/>
      <c r="R30" s="61"/>
      <c r="S30" s="35">
        <v>25</v>
      </c>
      <c r="T30" s="36">
        <v>24.16</v>
      </c>
      <c r="U30" s="37"/>
      <c r="V30" s="36">
        <v>20.3</v>
      </c>
      <c r="W30" s="37"/>
      <c r="X30" s="39"/>
      <c r="Y30" s="35">
        <v>25</v>
      </c>
      <c r="Z30" s="36">
        <v>202.13</v>
      </c>
      <c r="AA30" s="37"/>
      <c r="AB30" s="36">
        <v>170.31</v>
      </c>
      <c r="AC30" s="37"/>
      <c r="AE30" s="35">
        <v>25</v>
      </c>
      <c r="AF30" s="36">
        <v>109.84</v>
      </c>
      <c r="AG30" s="37"/>
      <c r="AH30" s="36">
        <v>93.19</v>
      </c>
      <c r="AI30" s="37"/>
      <c r="AK30" s="35">
        <v>25</v>
      </c>
      <c r="AL30" s="36">
        <v>47.24</v>
      </c>
      <c r="AM30" s="37"/>
      <c r="AN30" s="36">
        <v>40.200000000000003</v>
      </c>
      <c r="AO30" s="37"/>
      <c r="AP30" s="63"/>
      <c r="AQ30" s="35">
        <v>25</v>
      </c>
      <c r="AR30" s="36">
        <v>25.74</v>
      </c>
      <c r="AS30" s="37"/>
      <c r="AT30" s="36">
        <v>21.76</v>
      </c>
      <c r="AU30" s="37"/>
      <c r="AW30" s="40"/>
      <c r="AX30" s="35">
        <v>25</v>
      </c>
      <c r="AY30" s="36">
        <v>18</v>
      </c>
      <c r="AZ30" s="37"/>
      <c r="BA30" s="36">
        <v>15.31</v>
      </c>
      <c r="BB30" s="37"/>
    </row>
    <row r="31" spans="1:54" x14ac:dyDescent="0.35">
      <c r="A31" s="35">
        <v>26</v>
      </c>
      <c r="B31" s="36">
        <v>199.94</v>
      </c>
      <c r="C31" s="37"/>
      <c r="D31" s="36">
        <v>167.61</v>
      </c>
      <c r="E31" s="37"/>
      <c r="G31" s="35">
        <v>26</v>
      </c>
      <c r="H31" s="36">
        <v>107.32</v>
      </c>
      <c r="I31" s="37"/>
      <c r="J31" s="36">
        <v>90.53</v>
      </c>
      <c r="K31" s="37"/>
      <c r="L31" s="40"/>
      <c r="M31" s="35">
        <v>26</v>
      </c>
      <c r="N31" s="36">
        <v>46.11</v>
      </c>
      <c r="O31" s="37"/>
      <c r="P31" s="36">
        <v>38.99</v>
      </c>
      <c r="Q31" s="37"/>
      <c r="R31" s="61"/>
      <c r="S31" s="35">
        <v>26</v>
      </c>
      <c r="T31" s="36">
        <v>24.94</v>
      </c>
      <c r="U31" s="37"/>
      <c r="V31" s="36">
        <v>20.93</v>
      </c>
      <c r="W31" s="37"/>
      <c r="X31" s="39"/>
      <c r="Y31" s="35">
        <v>26</v>
      </c>
      <c r="Z31" s="36">
        <v>209.55</v>
      </c>
      <c r="AA31" s="37"/>
      <c r="AB31" s="36">
        <v>176.61</v>
      </c>
      <c r="AC31" s="37"/>
      <c r="AE31" s="35">
        <v>26</v>
      </c>
      <c r="AF31" s="36">
        <v>113.79</v>
      </c>
      <c r="AG31" s="37"/>
      <c r="AH31" s="36">
        <v>96.56</v>
      </c>
      <c r="AI31" s="37"/>
      <c r="AK31" s="35">
        <v>26</v>
      </c>
      <c r="AL31" s="36">
        <v>48.9</v>
      </c>
      <c r="AM31" s="37"/>
      <c r="AN31" s="36">
        <v>41.61</v>
      </c>
      <c r="AO31" s="37"/>
      <c r="AP31" s="63"/>
      <c r="AQ31" s="35">
        <v>26</v>
      </c>
      <c r="AR31" s="36">
        <v>26.66</v>
      </c>
      <c r="AS31" s="37"/>
      <c r="AT31" s="36">
        <v>22.51</v>
      </c>
      <c r="AU31" s="37"/>
      <c r="AW31" s="40"/>
      <c r="AX31" s="35">
        <v>26</v>
      </c>
      <c r="AY31" s="36">
        <v>18.55</v>
      </c>
      <c r="AZ31" s="37"/>
      <c r="BA31" s="36">
        <v>15.78</v>
      </c>
      <c r="BB31" s="37"/>
    </row>
    <row r="32" spans="1:54" x14ac:dyDescent="0.35">
      <c r="A32" s="35">
        <v>27</v>
      </c>
      <c r="B32" s="36">
        <v>206.93</v>
      </c>
      <c r="C32" s="37"/>
      <c r="D32" s="36">
        <v>173.46</v>
      </c>
      <c r="E32" s="37"/>
      <c r="G32" s="35">
        <v>27</v>
      </c>
      <c r="H32" s="36">
        <v>110.94</v>
      </c>
      <c r="I32" s="37"/>
      <c r="J32" s="36">
        <v>93.55</v>
      </c>
      <c r="K32" s="37"/>
      <c r="L32" s="40"/>
      <c r="M32" s="35">
        <v>27</v>
      </c>
      <c r="N32" s="36">
        <v>47.62</v>
      </c>
      <c r="O32" s="37"/>
      <c r="P32" s="36">
        <v>40.26</v>
      </c>
      <c r="Q32" s="37"/>
      <c r="R32" s="61"/>
      <c r="S32" s="35">
        <v>27</v>
      </c>
      <c r="T32" s="36">
        <v>25.76</v>
      </c>
      <c r="U32" s="37"/>
      <c r="V32" s="36">
        <v>21.76</v>
      </c>
      <c r="W32" s="37"/>
      <c r="X32" s="39"/>
      <c r="Y32" s="35">
        <v>27</v>
      </c>
      <c r="Z32" s="36">
        <v>217.35</v>
      </c>
      <c r="AA32" s="37"/>
      <c r="AB32" s="36">
        <v>183.24</v>
      </c>
      <c r="AC32" s="37"/>
      <c r="AE32" s="35">
        <v>27</v>
      </c>
      <c r="AF32" s="36">
        <v>117.95</v>
      </c>
      <c r="AG32" s="37"/>
      <c r="AH32" s="36">
        <v>100.1</v>
      </c>
      <c r="AI32" s="37"/>
      <c r="AK32" s="35">
        <v>27</v>
      </c>
      <c r="AL32" s="36">
        <v>50.64</v>
      </c>
      <c r="AM32" s="37"/>
      <c r="AN32" s="36">
        <v>43.1</v>
      </c>
      <c r="AO32" s="37"/>
      <c r="AP32" s="63"/>
      <c r="AQ32" s="35">
        <v>27</v>
      </c>
      <c r="AR32" s="36">
        <v>27.63</v>
      </c>
      <c r="AS32" s="37"/>
      <c r="AT32" s="36">
        <v>23.5</v>
      </c>
      <c r="AU32" s="37"/>
      <c r="AW32" s="40"/>
      <c r="AX32" s="35">
        <v>27</v>
      </c>
      <c r="AY32" s="36">
        <v>19.12</v>
      </c>
      <c r="AZ32" s="37"/>
      <c r="BA32" s="36">
        <v>16.260000000000002</v>
      </c>
      <c r="BB32" s="37"/>
    </row>
    <row r="33" spans="1:54" x14ac:dyDescent="0.35">
      <c r="A33" s="35">
        <v>28</v>
      </c>
      <c r="B33" s="36">
        <v>214.22</v>
      </c>
      <c r="C33" s="37"/>
      <c r="D33" s="36">
        <v>179.53</v>
      </c>
      <c r="E33" s="37"/>
      <c r="G33" s="35">
        <v>28</v>
      </c>
      <c r="H33" s="36">
        <v>114.71</v>
      </c>
      <c r="I33" s="37"/>
      <c r="J33" s="36">
        <v>96.7</v>
      </c>
      <c r="K33" s="37"/>
      <c r="L33" s="40"/>
      <c r="M33" s="35">
        <v>28</v>
      </c>
      <c r="N33" s="36">
        <v>49.21</v>
      </c>
      <c r="O33" s="37"/>
      <c r="P33" s="36">
        <v>41.58</v>
      </c>
      <c r="Q33" s="37"/>
      <c r="R33" s="61"/>
      <c r="S33" s="35">
        <v>28</v>
      </c>
      <c r="T33" s="36">
        <v>26.63</v>
      </c>
      <c r="U33" s="37"/>
      <c r="V33" s="36">
        <v>22.47</v>
      </c>
      <c r="W33" s="37"/>
      <c r="X33" s="39"/>
      <c r="Y33" s="35">
        <v>28</v>
      </c>
      <c r="Z33" s="36">
        <v>225.58</v>
      </c>
      <c r="AA33" s="37"/>
      <c r="AB33" s="36">
        <v>190.23</v>
      </c>
      <c r="AC33" s="37"/>
      <c r="AE33" s="35">
        <v>28</v>
      </c>
      <c r="AF33" s="36">
        <v>122.35</v>
      </c>
      <c r="AG33" s="37"/>
      <c r="AH33" s="36">
        <v>103.84</v>
      </c>
      <c r="AI33" s="37"/>
      <c r="AK33" s="35">
        <v>28</v>
      </c>
      <c r="AL33" s="36">
        <v>52.49</v>
      </c>
      <c r="AM33" s="37"/>
      <c r="AN33" s="36">
        <v>44.67</v>
      </c>
      <c r="AO33" s="37"/>
      <c r="AP33" s="63"/>
      <c r="AQ33" s="35">
        <v>28</v>
      </c>
      <c r="AR33" s="36">
        <v>28.65</v>
      </c>
      <c r="AS33" s="37"/>
      <c r="AT33" s="36">
        <v>24.37</v>
      </c>
      <c r="AU33" s="37"/>
      <c r="AW33" s="40"/>
      <c r="AX33" s="35">
        <v>28</v>
      </c>
      <c r="AY33" s="36">
        <v>19.72</v>
      </c>
      <c r="AZ33" s="37"/>
      <c r="BA33" s="36">
        <v>16.760000000000002</v>
      </c>
      <c r="BB33" s="37"/>
    </row>
    <row r="34" spans="1:54" x14ac:dyDescent="0.35">
      <c r="A34" s="35">
        <v>29</v>
      </c>
      <c r="B34" s="36">
        <v>221.84</v>
      </c>
      <c r="C34" s="37"/>
      <c r="D34" s="36">
        <v>185.8</v>
      </c>
      <c r="E34" s="37"/>
      <c r="G34" s="35">
        <v>29</v>
      </c>
      <c r="H34" s="36">
        <v>118.67</v>
      </c>
      <c r="I34" s="37"/>
      <c r="J34" s="36">
        <v>99.95</v>
      </c>
      <c r="K34" s="37"/>
      <c r="L34" s="40"/>
      <c r="M34" s="35">
        <v>29</v>
      </c>
      <c r="N34" s="36">
        <v>50.87</v>
      </c>
      <c r="O34" s="37"/>
      <c r="P34" s="36">
        <v>42.94</v>
      </c>
      <c r="Q34" s="37"/>
      <c r="R34" s="61"/>
      <c r="S34" s="35">
        <v>29</v>
      </c>
      <c r="T34" s="36">
        <v>27.54</v>
      </c>
      <c r="U34" s="37"/>
      <c r="V34" s="36">
        <v>23.2</v>
      </c>
      <c r="W34" s="37"/>
      <c r="X34" s="39"/>
      <c r="Y34" s="35">
        <v>29</v>
      </c>
      <c r="Z34" s="36">
        <v>234.25</v>
      </c>
      <c r="AA34" s="37"/>
      <c r="AB34" s="36">
        <v>197.57</v>
      </c>
      <c r="AC34" s="37"/>
      <c r="AE34" s="35">
        <v>29</v>
      </c>
      <c r="AF34" s="36">
        <v>126.91</v>
      </c>
      <c r="AG34" s="37"/>
      <c r="AH34" s="36">
        <v>107.77</v>
      </c>
      <c r="AI34" s="37"/>
      <c r="AK34" s="35">
        <v>29</v>
      </c>
      <c r="AL34" s="36">
        <v>54.44</v>
      </c>
      <c r="AM34" s="37"/>
      <c r="AN34" s="36">
        <v>46.32</v>
      </c>
      <c r="AO34" s="37"/>
      <c r="AP34" s="63"/>
      <c r="AQ34" s="35">
        <v>29</v>
      </c>
      <c r="AR34" s="36">
        <v>29.75</v>
      </c>
      <c r="AS34" s="37"/>
      <c r="AT34" s="36">
        <v>25.29</v>
      </c>
      <c r="AU34" s="37"/>
      <c r="AW34" s="40"/>
      <c r="AX34" s="35">
        <v>29</v>
      </c>
      <c r="AY34" s="36">
        <v>20.36</v>
      </c>
      <c r="AZ34" s="37"/>
      <c r="BA34" s="36">
        <v>17.28</v>
      </c>
      <c r="BB34" s="37"/>
    </row>
    <row r="35" spans="1:54" x14ac:dyDescent="0.35">
      <c r="A35" s="35">
        <v>30</v>
      </c>
      <c r="B35" s="36">
        <v>229.82</v>
      </c>
      <c r="C35" s="37"/>
      <c r="D35" s="36">
        <v>192.52</v>
      </c>
      <c r="E35" s="37"/>
      <c r="G35" s="35">
        <v>30</v>
      </c>
      <c r="H35" s="36">
        <v>122.83</v>
      </c>
      <c r="I35" s="37"/>
      <c r="J35" s="36">
        <v>103.43</v>
      </c>
      <c r="K35" s="37"/>
      <c r="L35" s="40"/>
      <c r="M35" s="35">
        <v>30</v>
      </c>
      <c r="N35" s="36">
        <v>52.61</v>
      </c>
      <c r="O35" s="37"/>
      <c r="P35" s="36">
        <v>44.4</v>
      </c>
      <c r="Q35" s="37"/>
      <c r="R35" s="61"/>
      <c r="S35" s="35">
        <v>30</v>
      </c>
      <c r="T35" s="36">
        <v>28.49</v>
      </c>
      <c r="U35" s="37"/>
      <c r="V35" s="36">
        <v>24</v>
      </c>
      <c r="W35" s="37"/>
      <c r="X35" s="39"/>
      <c r="Y35" s="35">
        <v>30</v>
      </c>
      <c r="Z35" s="36">
        <v>243.34</v>
      </c>
      <c r="AA35" s="37"/>
      <c r="AB35" s="36">
        <v>205.21</v>
      </c>
      <c r="AC35" s="37"/>
      <c r="AE35" s="35">
        <v>30</v>
      </c>
      <c r="AF35" s="36">
        <v>131.82</v>
      </c>
      <c r="AG35" s="37"/>
      <c r="AH35" s="36">
        <v>111.86</v>
      </c>
      <c r="AI35" s="37"/>
      <c r="AK35" s="35">
        <v>30</v>
      </c>
      <c r="AL35" s="36">
        <v>56.49</v>
      </c>
      <c r="AM35" s="37"/>
      <c r="AN35" s="36">
        <v>48.04</v>
      </c>
      <c r="AO35" s="37"/>
      <c r="AP35" s="63"/>
      <c r="AQ35" s="35">
        <v>30</v>
      </c>
      <c r="AR35" s="36">
        <v>30.9</v>
      </c>
      <c r="AS35" s="37"/>
      <c r="AT35" s="36">
        <v>26.25</v>
      </c>
      <c r="AU35" s="37"/>
      <c r="AW35" s="40"/>
      <c r="AX35" s="35">
        <v>30</v>
      </c>
      <c r="AY35" s="36">
        <v>21.04</v>
      </c>
      <c r="AZ35" s="37"/>
      <c r="BA35" s="36">
        <v>17.850000000000001</v>
      </c>
      <c r="BB35" s="37"/>
    </row>
    <row r="36" spans="1:54" x14ac:dyDescent="0.35">
      <c r="A36" s="35">
        <v>31</v>
      </c>
      <c r="B36" s="36">
        <v>238.1</v>
      </c>
      <c r="C36" s="37"/>
      <c r="D36" s="36">
        <v>199.49</v>
      </c>
      <c r="E36" s="37"/>
      <c r="G36" s="35">
        <v>31</v>
      </c>
      <c r="H36" s="36">
        <v>127.04</v>
      </c>
      <c r="I36" s="37"/>
      <c r="J36" s="36">
        <v>107.05</v>
      </c>
      <c r="K36" s="37"/>
      <c r="L36" s="40"/>
      <c r="M36" s="35">
        <v>31</v>
      </c>
      <c r="N36" s="36">
        <v>54.42</v>
      </c>
      <c r="O36" s="37"/>
      <c r="P36" s="36">
        <v>45.92</v>
      </c>
      <c r="Q36" s="37"/>
      <c r="R36" s="61"/>
      <c r="S36" s="35">
        <v>31</v>
      </c>
      <c r="T36" s="36">
        <v>29.48</v>
      </c>
      <c r="U36" s="37"/>
      <c r="V36" s="36">
        <v>24.82</v>
      </c>
      <c r="W36" s="37"/>
      <c r="X36" s="39"/>
      <c r="Y36" s="35">
        <v>31</v>
      </c>
      <c r="Z36" s="36">
        <v>252.83</v>
      </c>
      <c r="AA36" s="37"/>
      <c r="AB36" s="36">
        <v>213.34</v>
      </c>
      <c r="AC36" s="37"/>
      <c r="AE36" s="35">
        <v>31</v>
      </c>
      <c r="AF36" s="36">
        <v>136.96</v>
      </c>
      <c r="AG36" s="37"/>
      <c r="AH36" s="36">
        <v>116.24</v>
      </c>
      <c r="AI36" s="37"/>
      <c r="AK36" s="35">
        <v>31</v>
      </c>
      <c r="AL36" s="36">
        <v>58.64</v>
      </c>
      <c r="AM36" s="37"/>
      <c r="AN36" s="36">
        <v>49.88</v>
      </c>
      <c r="AO36" s="37"/>
      <c r="AP36" s="63"/>
      <c r="AQ36" s="35">
        <v>31</v>
      </c>
      <c r="AR36" s="36">
        <v>32.119999999999997</v>
      </c>
      <c r="AS36" s="37"/>
      <c r="AT36" s="36">
        <v>27.28</v>
      </c>
      <c r="AU36" s="37"/>
      <c r="AW36" s="40"/>
      <c r="AX36" s="35">
        <v>31</v>
      </c>
      <c r="AY36" s="36">
        <v>21.74</v>
      </c>
      <c r="AZ36" s="37"/>
      <c r="BA36" s="36">
        <v>18.43</v>
      </c>
      <c r="BB36" s="37"/>
    </row>
    <row r="37" spans="1:54" x14ac:dyDescent="0.35">
      <c r="A37" s="35">
        <v>32</v>
      </c>
      <c r="B37" s="36">
        <v>246.65</v>
      </c>
      <c r="C37" s="37"/>
      <c r="D37" s="36">
        <v>206.76</v>
      </c>
      <c r="E37" s="37"/>
      <c r="G37" s="35">
        <v>32</v>
      </c>
      <c r="H37" s="36">
        <v>131.52000000000001</v>
      </c>
      <c r="I37" s="37"/>
      <c r="J37" s="36">
        <v>110.83</v>
      </c>
      <c r="K37" s="37"/>
      <c r="L37" s="40"/>
      <c r="M37" s="35">
        <v>32</v>
      </c>
      <c r="N37" s="36">
        <v>56.29</v>
      </c>
      <c r="O37" s="37"/>
      <c r="P37" s="36">
        <v>47.5</v>
      </c>
      <c r="Q37" s="37"/>
      <c r="R37" s="61"/>
      <c r="S37" s="35">
        <v>32</v>
      </c>
      <c r="T37" s="36">
        <v>30.5</v>
      </c>
      <c r="U37" s="37"/>
      <c r="V37" s="36">
        <v>25.69</v>
      </c>
      <c r="W37" s="37"/>
      <c r="X37" s="39"/>
      <c r="Y37" s="35">
        <v>32</v>
      </c>
      <c r="Z37" s="36">
        <v>262.75</v>
      </c>
      <c r="AA37" s="37"/>
      <c r="AB37" s="36">
        <v>221.87</v>
      </c>
      <c r="AC37" s="37"/>
      <c r="AE37" s="35">
        <v>32</v>
      </c>
      <c r="AF37" s="36">
        <v>142.33000000000001</v>
      </c>
      <c r="AG37" s="37"/>
      <c r="AH37" s="36">
        <v>120.75</v>
      </c>
      <c r="AI37" s="37"/>
      <c r="AK37" s="35">
        <v>32</v>
      </c>
      <c r="AL37" s="36">
        <v>60.89</v>
      </c>
      <c r="AM37" s="37"/>
      <c r="AN37" s="36">
        <v>51.82</v>
      </c>
      <c r="AO37" s="37"/>
      <c r="AP37" s="63"/>
      <c r="AQ37" s="35">
        <v>32</v>
      </c>
      <c r="AR37" s="36">
        <v>33.39</v>
      </c>
      <c r="AS37" s="37"/>
      <c r="AT37" s="36">
        <v>28.37</v>
      </c>
      <c r="AU37" s="37"/>
      <c r="AW37" s="40"/>
      <c r="AX37" s="35">
        <v>32</v>
      </c>
      <c r="AY37" s="36">
        <v>22.47</v>
      </c>
      <c r="AZ37" s="37"/>
      <c r="BA37" s="36">
        <v>19.04</v>
      </c>
      <c r="BB37" s="37"/>
    </row>
    <row r="38" spans="1:54" x14ac:dyDescent="0.35">
      <c r="A38" s="35">
        <v>33</v>
      </c>
      <c r="B38" s="36">
        <v>255.56</v>
      </c>
      <c r="C38" s="37"/>
      <c r="D38" s="36">
        <v>214.35</v>
      </c>
      <c r="E38" s="37"/>
      <c r="G38" s="35">
        <v>33</v>
      </c>
      <c r="H38" s="36">
        <v>136.19</v>
      </c>
      <c r="I38" s="37"/>
      <c r="J38" s="36">
        <v>114.77</v>
      </c>
      <c r="K38" s="37"/>
      <c r="L38" s="40"/>
      <c r="M38" s="35">
        <v>33</v>
      </c>
      <c r="N38" s="36">
        <v>58.24</v>
      </c>
      <c r="O38" s="37"/>
      <c r="P38" s="36">
        <v>49.16</v>
      </c>
      <c r="Q38" s="37"/>
      <c r="R38" s="61"/>
      <c r="S38" s="35">
        <v>33</v>
      </c>
      <c r="T38" s="36">
        <v>31.56</v>
      </c>
      <c r="U38" s="37"/>
      <c r="V38" s="36">
        <v>26.6</v>
      </c>
      <c r="W38" s="37"/>
      <c r="X38" s="39"/>
      <c r="Y38" s="35">
        <v>33</v>
      </c>
      <c r="Z38" s="36">
        <v>273.32</v>
      </c>
      <c r="AA38" s="37"/>
      <c r="AB38" s="36">
        <v>230.84</v>
      </c>
      <c r="AC38" s="37"/>
      <c r="AE38" s="35">
        <v>33</v>
      </c>
      <c r="AF38" s="36">
        <v>148.06</v>
      </c>
      <c r="AG38" s="37"/>
      <c r="AH38" s="36">
        <v>125.62</v>
      </c>
      <c r="AI38" s="37"/>
      <c r="AK38" s="35">
        <v>33</v>
      </c>
      <c r="AL38" s="36">
        <v>63.27</v>
      </c>
      <c r="AM38" s="37"/>
      <c r="AN38" s="36">
        <v>53.86</v>
      </c>
      <c r="AO38" s="37"/>
      <c r="AP38" s="63"/>
      <c r="AQ38" s="35">
        <v>33</v>
      </c>
      <c r="AR38" s="36">
        <v>34.74</v>
      </c>
      <c r="AS38" s="37"/>
      <c r="AT38" s="36">
        <v>29.53</v>
      </c>
      <c r="AU38" s="37"/>
      <c r="AW38" s="40"/>
      <c r="AX38" s="35">
        <v>33</v>
      </c>
      <c r="AY38" s="36">
        <v>23.24</v>
      </c>
      <c r="AZ38" s="37"/>
      <c r="BA38" s="36">
        <v>19.68</v>
      </c>
      <c r="BB38" s="37"/>
    </row>
    <row r="39" spans="1:54" x14ac:dyDescent="0.35">
      <c r="A39" s="35">
        <v>34</v>
      </c>
      <c r="B39" s="36">
        <v>264.95</v>
      </c>
      <c r="C39" s="37"/>
      <c r="D39" s="36">
        <v>222.24</v>
      </c>
      <c r="E39" s="37"/>
      <c r="G39" s="35">
        <v>34</v>
      </c>
      <c r="H39" s="36">
        <v>141.11000000000001</v>
      </c>
      <c r="I39" s="37"/>
      <c r="J39" s="36">
        <v>118.88</v>
      </c>
      <c r="K39" s="37"/>
      <c r="L39" s="40"/>
      <c r="M39" s="35">
        <v>34</v>
      </c>
      <c r="N39" s="36">
        <v>60.27</v>
      </c>
      <c r="O39" s="37"/>
      <c r="P39" s="36">
        <v>50.88</v>
      </c>
      <c r="Q39" s="37"/>
      <c r="R39" s="61"/>
      <c r="S39" s="35">
        <v>34</v>
      </c>
      <c r="T39" s="36">
        <v>32.68</v>
      </c>
      <c r="U39" s="37"/>
      <c r="V39" s="36">
        <v>27.54</v>
      </c>
      <c r="W39" s="37"/>
      <c r="X39" s="39"/>
      <c r="Y39" s="35">
        <v>34</v>
      </c>
      <c r="Z39" s="36">
        <v>284.52</v>
      </c>
      <c r="AA39" s="37"/>
      <c r="AB39" s="36">
        <v>240.27</v>
      </c>
      <c r="AC39" s="37"/>
      <c r="AE39" s="35">
        <v>34</v>
      </c>
      <c r="AF39" s="36">
        <v>154.01</v>
      </c>
      <c r="AG39" s="37"/>
      <c r="AH39" s="36">
        <v>130.77000000000001</v>
      </c>
      <c r="AI39" s="37"/>
      <c r="AK39" s="35">
        <v>34</v>
      </c>
      <c r="AL39" s="36">
        <v>65.83</v>
      </c>
      <c r="AM39" s="37"/>
      <c r="AN39" s="36">
        <v>56.01</v>
      </c>
      <c r="AO39" s="37"/>
      <c r="AP39" s="63"/>
      <c r="AQ39" s="35">
        <v>34</v>
      </c>
      <c r="AR39" s="36">
        <v>36.200000000000003</v>
      </c>
      <c r="AS39" s="37"/>
      <c r="AT39" s="36">
        <v>30.75</v>
      </c>
      <c r="AU39" s="37"/>
      <c r="AW39" s="40"/>
      <c r="AX39" s="35">
        <v>34</v>
      </c>
      <c r="AY39" s="36">
        <v>24.05</v>
      </c>
      <c r="AZ39" s="37"/>
      <c r="BA39" s="36">
        <v>20.36</v>
      </c>
      <c r="BB39" s="37"/>
    </row>
    <row r="40" spans="1:54" x14ac:dyDescent="0.35">
      <c r="A40" s="35">
        <v>35</v>
      </c>
      <c r="B40" s="36">
        <v>274.51</v>
      </c>
      <c r="C40" s="37"/>
      <c r="D40" s="36">
        <v>230.39</v>
      </c>
      <c r="E40" s="37"/>
      <c r="G40" s="35">
        <v>35</v>
      </c>
      <c r="H40" s="36">
        <v>146.11000000000001</v>
      </c>
      <c r="I40" s="37"/>
      <c r="J40" s="36">
        <v>123.02</v>
      </c>
      <c r="K40" s="37"/>
      <c r="L40" s="40"/>
      <c r="M40" s="35">
        <v>35</v>
      </c>
      <c r="N40" s="36">
        <v>62.37</v>
      </c>
      <c r="O40" s="37"/>
      <c r="P40" s="36">
        <v>52.67</v>
      </c>
      <c r="Q40" s="37"/>
      <c r="R40" s="61"/>
      <c r="S40" s="35">
        <v>35</v>
      </c>
      <c r="T40" s="36">
        <v>33.82</v>
      </c>
      <c r="U40" s="37"/>
      <c r="V40" s="36">
        <v>28.51</v>
      </c>
      <c r="W40" s="37"/>
      <c r="X40" s="39"/>
      <c r="Y40" s="35">
        <v>35</v>
      </c>
      <c r="Z40" s="36">
        <v>296.25</v>
      </c>
      <c r="AA40" s="37"/>
      <c r="AB40" s="36">
        <v>250.14</v>
      </c>
      <c r="AC40" s="37"/>
      <c r="AE40" s="35">
        <v>35</v>
      </c>
      <c r="AF40" s="36">
        <v>160.43</v>
      </c>
      <c r="AG40" s="37"/>
      <c r="AH40" s="36">
        <v>136.16</v>
      </c>
      <c r="AI40" s="37"/>
      <c r="AK40" s="35">
        <v>35</v>
      </c>
      <c r="AL40" s="36">
        <v>68.52</v>
      </c>
      <c r="AM40" s="37"/>
      <c r="AN40" s="36">
        <v>58.27</v>
      </c>
      <c r="AO40" s="37"/>
      <c r="AP40" s="63"/>
      <c r="AQ40" s="35">
        <v>35</v>
      </c>
      <c r="AR40" s="36">
        <v>37.75</v>
      </c>
      <c r="AS40" s="37"/>
      <c r="AT40" s="36">
        <v>32.049999999999997</v>
      </c>
      <c r="AU40" s="37"/>
      <c r="AW40" s="40"/>
      <c r="AX40" s="35">
        <v>35</v>
      </c>
      <c r="AY40" s="36">
        <v>24.89</v>
      </c>
      <c r="AZ40" s="37"/>
      <c r="BA40" s="36">
        <v>21.06</v>
      </c>
      <c r="BB40" s="37"/>
    </row>
    <row r="41" spans="1:54" x14ac:dyDescent="0.35">
      <c r="A41" s="35">
        <v>36</v>
      </c>
      <c r="B41" s="36">
        <v>295.52999999999997</v>
      </c>
      <c r="C41" s="37"/>
      <c r="D41" s="36">
        <v>248.61</v>
      </c>
      <c r="E41" s="37"/>
      <c r="G41" s="35">
        <v>36</v>
      </c>
      <c r="H41" s="36">
        <v>157.19999999999999</v>
      </c>
      <c r="I41" s="37"/>
      <c r="J41" s="36">
        <v>132.66999999999999</v>
      </c>
      <c r="K41" s="37"/>
      <c r="L41" s="40"/>
      <c r="M41" s="35">
        <v>36</v>
      </c>
      <c r="N41" s="36">
        <v>67.069999999999993</v>
      </c>
      <c r="O41" s="37"/>
      <c r="P41" s="36">
        <v>56.75</v>
      </c>
      <c r="Q41" s="37"/>
      <c r="R41" s="61"/>
      <c r="S41" s="35">
        <v>36</v>
      </c>
      <c r="T41" s="36">
        <v>36.39</v>
      </c>
      <c r="U41" s="37"/>
      <c r="V41" s="36">
        <v>30.75</v>
      </c>
      <c r="W41" s="37"/>
      <c r="X41" s="39"/>
      <c r="Y41" s="35">
        <v>36</v>
      </c>
      <c r="Z41" s="36">
        <v>320.58</v>
      </c>
      <c r="AA41" s="37"/>
      <c r="AB41" s="36">
        <v>272.41000000000003</v>
      </c>
      <c r="AC41" s="37"/>
      <c r="AE41" s="35">
        <v>36</v>
      </c>
      <c r="AF41" s="36">
        <v>173.7</v>
      </c>
      <c r="AG41" s="37"/>
      <c r="AH41" s="36">
        <v>148.31</v>
      </c>
      <c r="AI41" s="37"/>
      <c r="AK41" s="35">
        <v>36</v>
      </c>
      <c r="AL41" s="36">
        <v>74.12</v>
      </c>
      <c r="AM41" s="37"/>
      <c r="AN41" s="36">
        <v>63.39</v>
      </c>
      <c r="AO41" s="37"/>
      <c r="AP41" s="63"/>
      <c r="AQ41" s="35">
        <v>36</v>
      </c>
      <c r="AR41" s="36">
        <v>40.909999999999997</v>
      </c>
      <c r="AS41" s="37"/>
      <c r="AT41" s="36">
        <v>34.92</v>
      </c>
      <c r="AU41" s="37"/>
      <c r="AW41" s="40"/>
      <c r="AX41" s="35">
        <v>36</v>
      </c>
      <c r="AY41" s="36">
        <v>26.77</v>
      </c>
      <c r="AZ41" s="37"/>
      <c r="BA41" s="36">
        <v>22.68</v>
      </c>
      <c r="BB41" s="37"/>
    </row>
    <row r="42" spans="1:54" x14ac:dyDescent="0.35">
      <c r="A42" s="35">
        <v>37</v>
      </c>
      <c r="B42" s="36">
        <v>306.02</v>
      </c>
      <c r="C42" s="37"/>
      <c r="D42" s="36">
        <v>257.67</v>
      </c>
      <c r="E42" s="37"/>
      <c r="G42" s="35">
        <v>37</v>
      </c>
      <c r="H42" s="36">
        <v>162.69999999999999</v>
      </c>
      <c r="I42" s="37"/>
      <c r="J42" s="36">
        <v>137.43</v>
      </c>
      <c r="K42" s="37"/>
      <c r="L42" s="40"/>
      <c r="M42" s="35">
        <v>37</v>
      </c>
      <c r="N42" s="36">
        <v>69.38</v>
      </c>
      <c r="O42" s="37"/>
      <c r="P42" s="36">
        <v>58.74</v>
      </c>
      <c r="Q42" s="37"/>
      <c r="R42" s="61"/>
      <c r="S42" s="35">
        <v>37</v>
      </c>
      <c r="T42" s="36">
        <v>37.659999999999997</v>
      </c>
      <c r="U42" s="37"/>
      <c r="V42" s="36">
        <v>31.84</v>
      </c>
      <c r="W42" s="37"/>
      <c r="X42" s="39"/>
      <c r="Y42" s="35">
        <v>37</v>
      </c>
      <c r="Z42" s="36">
        <v>333.81</v>
      </c>
      <c r="AA42" s="37"/>
      <c r="AB42" s="36">
        <v>283.68</v>
      </c>
      <c r="AC42" s="37"/>
      <c r="AE42" s="35">
        <v>37</v>
      </c>
      <c r="AF42" s="36">
        <v>180.96</v>
      </c>
      <c r="AG42" s="37"/>
      <c r="AH42" s="36">
        <v>154.35</v>
      </c>
      <c r="AI42" s="37"/>
      <c r="AK42" s="35">
        <v>37</v>
      </c>
      <c r="AL42" s="36">
        <v>77.17</v>
      </c>
      <c r="AM42" s="37"/>
      <c r="AN42" s="36">
        <v>65.989999999999995</v>
      </c>
      <c r="AO42" s="37"/>
      <c r="AP42" s="63"/>
      <c r="AQ42" s="35">
        <v>37</v>
      </c>
      <c r="AR42" s="36">
        <v>42.68</v>
      </c>
      <c r="AS42" s="37"/>
      <c r="AT42" s="36">
        <v>36.42</v>
      </c>
      <c r="AU42" s="37"/>
      <c r="AW42" s="40"/>
      <c r="AX42" s="35">
        <v>37</v>
      </c>
      <c r="AY42" s="36">
        <v>27.7</v>
      </c>
      <c r="AZ42" s="37"/>
      <c r="BA42" s="36">
        <v>23.47</v>
      </c>
      <c r="BB42" s="37"/>
    </row>
    <row r="43" spans="1:54" x14ac:dyDescent="0.35">
      <c r="A43" s="35">
        <v>38</v>
      </c>
      <c r="B43" s="36">
        <v>316.77</v>
      </c>
      <c r="C43" s="37"/>
      <c r="D43" s="36">
        <v>267.11</v>
      </c>
      <c r="E43" s="37"/>
      <c r="G43" s="35">
        <v>38</v>
      </c>
      <c r="H43" s="36">
        <v>168.2</v>
      </c>
      <c r="I43" s="37"/>
      <c r="J43" s="36">
        <v>142.38</v>
      </c>
      <c r="K43" s="37"/>
      <c r="L43" s="40"/>
      <c r="M43" s="35">
        <v>38</v>
      </c>
      <c r="N43" s="36">
        <v>71.75</v>
      </c>
      <c r="O43" s="37"/>
      <c r="P43" s="36">
        <v>60.81</v>
      </c>
      <c r="Q43" s="37"/>
      <c r="R43" s="61"/>
      <c r="S43" s="35">
        <v>38</v>
      </c>
      <c r="T43" s="36">
        <v>38.96</v>
      </c>
      <c r="U43" s="37"/>
      <c r="V43" s="36">
        <v>32.99</v>
      </c>
      <c r="W43" s="37"/>
      <c r="X43" s="39"/>
      <c r="Y43" s="35">
        <v>38</v>
      </c>
      <c r="Z43" s="36">
        <v>347.65</v>
      </c>
      <c r="AA43" s="37"/>
      <c r="AB43" s="36">
        <v>295.47000000000003</v>
      </c>
      <c r="AC43" s="37"/>
      <c r="AE43" s="35">
        <v>38</v>
      </c>
      <c r="AF43" s="36">
        <v>188.56</v>
      </c>
      <c r="AG43" s="37"/>
      <c r="AH43" s="36">
        <v>160.87</v>
      </c>
      <c r="AI43" s="37"/>
      <c r="AK43" s="35">
        <v>38</v>
      </c>
      <c r="AL43" s="36">
        <v>80.37</v>
      </c>
      <c r="AM43" s="37"/>
      <c r="AN43" s="36">
        <v>68.72</v>
      </c>
      <c r="AO43" s="37"/>
      <c r="AP43" s="63"/>
      <c r="AQ43" s="35">
        <v>38</v>
      </c>
      <c r="AR43" s="36">
        <v>44.55</v>
      </c>
      <c r="AS43" s="37"/>
      <c r="AT43" s="36">
        <v>38.01</v>
      </c>
      <c r="AU43" s="37"/>
      <c r="AW43" s="40"/>
      <c r="AX43" s="35">
        <v>38</v>
      </c>
      <c r="AY43" s="36">
        <v>28.67</v>
      </c>
      <c r="AZ43" s="37"/>
      <c r="BA43" s="36">
        <v>24.29</v>
      </c>
      <c r="BB43" s="37"/>
    </row>
    <row r="44" spans="1:54" x14ac:dyDescent="0.35">
      <c r="A44" s="35">
        <v>39</v>
      </c>
      <c r="B44" s="36">
        <v>328.06</v>
      </c>
      <c r="C44" s="37"/>
      <c r="D44" s="36">
        <v>276.97000000000003</v>
      </c>
      <c r="E44" s="37"/>
      <c r="G44" s="35">
        <v>39</v>
      </c>
      <c r="H44" s="36">
        <v>174.15</v>
      </c>
      <c r="I44" s="37"/>
      <c r="J44" s="36">
        <v>147.56</v>
      </c>
      <c r="K44" s="37"/>
      <c r="L44" s="40"/>
      <c r="M44" s="35">
        <v>39</v>
      </c>
      <c r="N44" s="36">
        <v>74.239999999999995</v>
      </c>
      <c r="O44" s="37"/>
      <c r="P44" s="36">
        <v>62.95</v>
      </c>
      <c r="Q44" s="37"/>
      <c r="R44" s="61"/>
      <c r="S44" s="35">
        <v>39</v>
      </c>
      <c r="T44" s="36">
        <v>40.35</v>
      </c>
      <c r="U44" s="37"/>
      <c r="V44" s="36">
        <v>34.18</v>
      </c>
      <c r="W44" s="37"/>
      <c r="X44" s="39"/>
      <c r="Y44" s="35">
        <v>39</v>
      </c>
      <c r="Z44" s="36">
        <v>362.13</v>
      </c>
      <c r="AA44" s="37"/>
      <c r="AB44" s="36">
        <v>308.08999999999997</v>
      </c>
      <c r="AC44" s="37"/>
      <c r="AE44" s="35">
        <v>39</v>
      </c>
      <c r="AF44" s="36">
        <v>196.47</v>
      </c>
      <c r="AG44" s="37"/>
      <c r="AH44" s="36">
        <v>167.85</v>
      </c>
      <c r="AI44" s="37"/>
      <c r="AK44" s="35">
        <v>39</v>
      </c>
      <c r="AL44" s="36">
        <v>83.73</v>
      </c>
      <c r="AM44" s="37"/>
      <c r="AN44" s="36">
        <v>71.650000000000006</v>
      </c>
      <c r="AO44" s="37"/>
      <c r="AP44" s="63"/>
      <c r="AQ44" s="35">
        <v>39</v>
      </c>
      <c r="AR44" s="36">
        <v>46.54</v>
      </c>
      <c r="AS44" s="37"/>
      <c r="AT44" s="36">
        <v>39.72</v>
      </c>
      <c r="AU44" s="37"/>
      <c r="AW44" s="40"/>
      <c r="AX44" s="35">
        <v>39</v>
      </c>
      <c r="AY44" s="36">
        <v>29.95</v>
      </c>
      <c r="AZ44" s="37"/>
      <c r="BA44" s="36">
        <v>25.16</v>
      </c>
      <c r="BB44" s="37"/>
    </row>
    <row r="45" spans="1:54" x14ac:dyDescent="0.35">
      <c r="A45" s="35">
        <v>40</v>
      </c>
      <c r="B45" s="36">
        <v>339.66</v>
      </c>
      <c r="C45" s="37"/>
      <c r="D45" s="36">
        <v>287.04000000000002</v>
      </c>
      <c r="E45" s="37"/>
      <c r="G45" s="35">
        <v>40</v>
      </c>
      <c r="H45" s="36">
        <v>180.29</v>
      </c>
      <c r="I45" s="37"/>
      <c r="J45" s="36">
        <v>152.84</v>
      </c>
      <c r="K45" s="37"/>
      <c r="L45" s="40"/>
      <c r="M45" s="35">
        <v>40</v>
      </c>
      <c r="N45" s="36">
        <v>76.819999999999993</v>
      </c>
      <c r="O45" s="37"/>
      <c r="P45" s="36">
        <v>65.17</v>
      </c>
      <c r="Q45" s="37"/>
      <c r="R45" s="61"/>
      <c r="S45" s="35">
        <v>40</v>
      </c>
      <c r="T45" s="36">
        <v>41.79</v>
      </c>
      <c r="U45" s="37"/>
      <c r="V45" s="36">
        <v>35.409999999999997</v>
      </c>
      <c r="W45" s="37"/>
      <c r="X45" s="39"/>
      <c r="Y45" s="35">
        <v>40</v>
      </c>
      <c r="Z45" s="36">
        <v>374.16</v>
      </c>
      <c r="AA45" s="37"/>
      <c r="AB45" s="36">
        <v>319.39</v>
      </c>
      <c r="AC45" s="37"/>
      <c r="AE45" s="35">
        <v>40</v>
      </c>
      <c r="AF45" s="36">
        <v>203.06</v>
      </c>
      <c r="AG45" s="37"/>
      <c r="AH45" s="36">
        <v>174.14</v>
      </c>
      <c r="AI45" s="37"/>
      <c r="AK45" s="35">
        <v>40</v>
      </c>
      <c r="AL45" s="36">
        <v>86.55</v>
      </c>
      <c r="AM45" s="37"/>
      <c r="AN45" s="36">
        <v>74.290000000000006</v>
      </c>
      <c r="AO45" s="37"/>
      <c r="AP45" s="63"/>
      <c r="AQ45" s="35">
        <v>40</v>
      </c>
      <c r="AR45" s="36">
        <v>48.24</v>
      </c>
      <c r="AS45" s="37"/>
      <c r="AT45" s="36">
        <v>41.28</v>
      </c>
      <c r="AU45" s="37"/>
      <c r="AW45" s="40"/>
      <c r="AX45" s="35">
        <v>40</v>
      </c>
      <c r="AY45" s="36">
        <v>31.04</v>
      </c>
      <c r="AZ45" s="37"/>
      <c r="BA45" s="36">
        <v>26.06</v>
      </c>
      <c r="BB45" s="37"/>
    </row>
    <row r="46" spans="1:54" x14ac:dyDescent="0.35">
      <c r="A46" s="35">
        <v>41</v>
      </c>
      <c r="B46" s="36">
        <v>351.65</v>
      </c>
      <c r="C46" s="37"/>
      <c r="D46" s="36">
        <v>297.45999999999998</v>
      </c>
      <c r="E46" s="37"/>
      <c r="G46" s="35">
        <v>41</v>
      </c>
      <c r="H46" s="36">
        <v>186.61</v>
      </c>
      <c r="I46" s="37"/>
      <c r="J46" s="36">
        <v>158.30000000000001</v>
      </c>
      <c r="K46" s="37"/>
      <c r="L46" s="40"/>
      <c r="M46" s="35">
        <v>41</v>
      </c>
      <c r="N46" s="36">
        <v>79.48</v>
      </c>
      <c r="O46" s="37"/>
      <c r="P46" s="36">
        <v>67.47</v>
      </c>
      <c r="Q46" s="37"/>
      <c r="R46" s="61"/>
      <c r="S46" s="35">
        <v>41</v>
      </c>
      <c r="T46" s="36">
        <v>43.28</v>
      </c>
      <c r="U46" s="37"/>
      <c r="V46" s="36">
        <v>36.69</v>
      </c>
      <c r="W46" s="37"/>
      <c r="X46" s="39"/>
      <c r="Y46" s="35">
        <v>41</v>
      </c>
      <c r="Z46" s="36">
        <v>389.72</v>
      </c>
      <c r="AA46" s="37"/>
      <c r="AB46" s="36">
        <v>333.31</v>
      </c>
      <c r="AC46" s="37"/>
      <c r="AE46" s="35">
        <v>41</v>
      </c>
      <c r="AF46" s="36">
        <v>213.46</v>
      </c>
      <c r="AG46" s="37"/>
      <c r="AH46" s="36">
        <v>181.7</v>
      </c>
      <c r="AI46" s="37"/>
      <c r="AK46" s="35">
        <v>41</v>
      </c>
      <c r="AL46" s="36">
        <v>90.19</v>
      </c>
      <c r="AM46" s="37"/>
      <c r="AN46" s="36">
        <v>77.540000000000006</v>
      </c>
      <c r="AO46" s="37"/>
      <c r="AP46" s="63"/>
      <c r="AQ46" s="35">
        <v>41</v>
      </c>
      <c r="AR46" s="36">
        <v>50.42</v>
      </c>
      <c r="AS46" s="37"/>
      <c r="AT46" s="36">
        <v>43.21</v>
      </c>
      <c r="AU46" s="37"/>
      <c r="AW46" s="40"/>
      <c r="AX46" s="35">
        <v>41</v>
      </c>
      <c r="AY46" s="36">
        <v>32.19</v>
      </c>
      <c r="AZ46" s="37"/>
      <c r="BA46" s="36">
        <v>26.99</v>
      </c>
      <c r="BB46" s="37"/>
    </row>
    <row r="47" spans="1:54" x14ac:dyDescent="0.35">
      <c r="A47" s="35">
        <v>42</v>
      </c>
      <c r="B47" s="36">
        <v>363.95</v>
      </c>
      <c r="C47" s="37"/>
      <c r="D47" s="36">
        <v>308.18</v>
      </c>
      <c r="E47" s="37"/>
      <c r="G47" s="35">
        <v>42</v>
      </c>
      <c r="H47" s="36">
        <v>193.08</v>
      </c>
      <c r="I47" s="37"/>
      <c r="J47" s="36">
        <v>163.78</v>
      </c>
      <c r="K47" s="37"/>
      <c r="L47" s="40"/>
      <c r="M47" s="35">
        <v>42</v>
      </c>
      <c r="N47" s="36">
        <v>82.21</v>
      </c>
      <c r="O47" s="37"/>
      <c r="P47" s="36">
        <v>69.84</v>
      </c>
      <c r="Q47" s="37"/>
      <c r="R47" s="61"/>
      <c r="S47" s="35">
        <v>42</v>
      </c>
      <c r="T47" s="36">
        <v>44.81</v>
      </c>
      <c r="U47" s="37"/>
      <c r="V47" s="36">
        <v>38</v>
      </c>
      <c r="W47" s="37"/>
      <c r="X47" s="39"/>
      <c r="Y47" s="35">
        <v>42</v>
      </c>
      <c r="Z47" s="36">
        <v>406</v>
      </c>
      <c r="AA47" s="37"/>
      <c r="AB47" s="36">
        <v>348</v>
      </c>
      <c r="AC47" s="37"/>
      <c r="AE47" s="35">
        <v>42</v>
      </c>
      <c r="AF47" s="36">
        <v>226.82</v>
      </c>
      <c r="AG47" s="37"/>
      <c r="AH47" s="36">
        <v>190.01</v>
      </c>
      <c r="AI47" s="37"/>
      <c r="AK47" s="35">
        <v>42</v>
      </c>
      <c r="AL47" s="36">
        <v>94</v>
      </c>
      <c r="AM47" s="37"/>
      <c r="AN47" s="36">
        <v>80.989999999999995</v>
      </c>
      <c r="AO47" s="37"/>
      <c r="AP47" s="63"/>
      <c r="AQ47" s="35">
        <v>42</v>
      </c>
      <c r="AR47" s="36">
        <v>52.72</v>
      </c>
      <c r="AS47" s="37"/>
      <c r="AT47" s="36">
        <v>45.26</v>
      </c>
      <c r="AU47" s="37"/>
      <c r="AW47" s="40"/>
      <c r="AX47" s="35">
        <v>42</v>
      </c>
      <c r="AY47" s="36">
        <v>33.369999999999997</v>
      </c>
      <c r="AZ47" s="37"/>
      <c r="BA47" s="36">
        <v>27.97</v>
      </c>
      <c r="BB47" s="37"/>
    </row>
    <row r="48" spans="1:54" x14ac:dyDescent="0.35">
      <c r="A48" s="35">
        <v>43</v>
      </c>
      <c r="B48" s="36">
        <v>376.59</v>
      </c>
      <c r="C48" s="37"/>
      <c r="D48" s="36">
        <v>319.08999999999997</v>
      </c>
      <c r="E48" s="37"/>
      <c r="G48" s="35">
        <v>43</v>
      </c>
      <c r="H48" s="36">
        <v>199.74</v>
      </c>
      <c r="I48" s="37"/>
      <c r="J48" s="36">
        <v>169.55</v>
      </c>
      <c r="K48" s="37"/>
      <c r="L48" s="40"/>
      <c r="M48" s="35">
        <v>43</v>
      </c>
      <c r="N48" s="36">
        <v>85.02</v>
      </c>
      <c r="O48" s="37"/>
      <c r="P48" s="36">
        <v>72.25</v>
      </c>
      <c r="Q48" s="37"/>
      <c r="R48" s="61"/>
      <c r="S48" s="35">
        <v>43</v>
      </c>
      <c r="T48" s="36">
        <v>46.39</v>
      </c>
      <c r="U48" s="37"/>
      <c r="V48" s="36">
        <v>39.340000000000003</v>
      </c>
      <c r="W48" s="37"/>
      <c r="X48" s="39"/>
      <c r="Y48" s="35">
        <v>43</v>
      </c>
      <c r="Z48" s="36">
        <v>423.24</v>
      </c>
      <c r="AA48" s="37"/>
      <c r="AB48" s="36">
        <v>363.53</v>
      </c>
      <c r="AC48" s="37"/>
      <c r="AE48" s="35">
        <v>43</v>
      </c>
      <c r="AF48" s="36">
        <v>241.31</v>
      </c>
      <c r="AG48" s="37"/>
      <c r="AH48" s="36">
        <v>199.34</v>
      </c>
      <c r="AI48" s="37"/>
      <c r="AK48" s="35">
        <v>43</v>
      </c>
      <c r="AL48" s="36">
        <v>98.02</v>
      </c>
      <c r="AM48" s="37"/>
      <c r="AN48" s="36">
        <v>84.65</v>
      </c>
      <c r="AO48" s="37"/>
      <c r="AP48" s="63"/>
      <c r="AQ48" s="35">
        <v>43</v>
      </c>
      <c r="AR48" s="36">
        <v>55.21</v>
      </c>
      <c r="AS48" s="37"/>
      <c r="AT48" s="36">
        <v>47.48</v>
      </c>
      <c r="AU48" s="37"/>
      <c r="AW48" s="40"/>
      <c r="AX48" s="35">
        <v>43</v>
      </c>
      <c r="AY48" s="36">
        <v>34.590000000000003</v>
      </c>
      <c r="AZ48" s="37"/>
      <c r="BA48" s="36">
        <v>28.96</v>
      </c>
      <c r="BB48" s="37"/>
    </row>
    <row r="49" spans="1:54" x14ac:dyDescent="0.35">
      <c r="A49" s="35">
        <v>44</v>
      </c>
      <c r="B49" s="36">
        <v>389.59</v>
      </c>
      <c r="C49" s="37"/>
      <c r="D49" s="36">
        <v>330.59</v>
      </c>
      <c r="E49" s="37"/>
      <c r="G49" s="35">
        <v>44</v>
      </c>
      <c r="H49" s="36">
        <v>206.47</v>
      </c>
      <c r="I49" s="37"/>
      <c r="J49" s="36">
        <v>175.63</v>
      </c>
      <c r="K49" s="37"/>
      <c r="L49" s="40"/>
      <c r="M49" s="35">
        <v>44</v>
      </c>
      <c r="N49" s="36">
        <v>87.92</v>
      </c>
      <c r="O49" s="37"/>
      <c r="P49" s="36">
        <v>74.790000000000006</v>
      </c>
      <c r="Q49" s="37"/>
      <c r="R49" s="61"/>
      <c r="S49" s="35">
        <v>44</v>
      </c>
      <c r="T49" s="36">
        <v>48.05</v>
      </c>
      <c r="U49" s="37"/>
      <c r="V49" s="36">
        <v>40.76</v>
      </c>
      <c r="W49" s="37"/>
      <c r="X49" s="39"/>
      <c r="Y49" s="35">
        <v>44</v>
      </c>
      <c r="Z49" s="36">
        <v>441.4</v>
      </c>
      <c r="AA49" s="37"/>
      <c r="AB49" s="36">
        <v>380.01</v>
      </c>
      <c r="AC49" s="37"/>
      <c r="AE49" s="35">
        <v>44</v>
      </c>
      <c r="AF49" s="36">
        <v>257.02</v>
      </c>
      <c r="AG49" s="37"/>
      <c r="AH49" s="36">
        <v>212.94</v>
      </c>
      <c r="AI49" s="37"/>
      <c r="AK49" s="35">
        <v>44</v>
      </c>
      <c r="AL49" s="36">
        <v>102.35</v>
      </c>
      <c r="AM49" s="37"/>
      <c r="AN49" s="36">
        <v>88.54</v>
      </c>
      <c r="AO49" s="37"/>
      <c r="AP49" s="63"/>
      <c r="AQ49" s="35">
        <v>44</v>
      </c>
      <c r="AR49" s="36">
        <v>57.87</v>
      </c>
      <c r="AS49" s="37"/>
      <c r="AT49" s="36">
        <v>49.85</v>
      </c>
      <c r="AU49" s="37"/>
      <c r="AW49" s="40"/>
      <c r="AX49" s="35">
        <v>44</v>
      </c>
      <c r="AY49" s="36">
        <v>35.86</v>
      </c>
      <c r="AZ49" s="37"/>
      <c r="BA49" s="36">
        <v>30.01</v>
      </c>
      <c r="BB49" s="37"/>
    </row>
    <row r="50" spans="1:54" x14ac:dyDescent="0.35">
      <c r="A50" s="35">
        <v>45</v>
      </c>
      <c r="B50" s="36">
        <v>402.9</v>
      </c>
      <c r="C50" s="37"/>
      <c r="D50" s="36">
        <v>342.3</v>
      </c>
      <c r="E50" s="37"/>
      <c r="G50" s="35">
        <v>45</v>
      </c>
      <c r="H50" s="36">
        <v>213.58</v>
      </c>
      <c r="I50" s="37"/>
      <c r="J50" s="36">
        <v>181.82</v>
      </c>
      <c r="K50" s="37"/>
      <c r="L50" s="40"/>
      <c r="M50" s="35">
        <v>45</v>
      </c>
      <c r="N50" s="36">
        <v>90.9</v>
      </c>
      <c r="O50" s="37"/>
      <c r="P50" s="36">
        <v>77.400000000000006</v>
      </c>
      <c r="Q50" s="37"/>
      <c r="R50" s="61"/>
      <c r="S50" s="35">
        <v>45</v>
      </c>
      <c r="T50" s="36">
        <v>49.75</v>
      </c>
      <c r="U50" s="37"/>
      <c r="V50" s="36">
        <v>42.22</v>
      </c>
      <c r="W50" s="37"/>
      <c r="X50" s="39"/>
      <c r="Y50" s="35">
        <v>45</v>
      </c>
      <c r="Z50" s="36">
        <v>447.17</v>
      </c>
      <c r="AA50" s="37"/>
      <c r="AB50" s="36">
        <v>387.75</v>
      </c>
      <c r="AC50" s="37"/>
      <c r="AE50" s="35">
        <v>45</v>
      </c>
      <c r="AF50" s="36">
        <v>265.57</v>
      </c>
      <c r="AG50" s="37"/>
      <c r="AH50" s="36">
        <v>221.62</v>
      </c>
      <c r="AI50" s="37"/>
      <c r="AK50" s="35">
        <v>45</v>
      </c>
      <c r="AL50" s="36">
        <v>103.91</v>
      </c>
      <c r="AM50" s="37"/>
      <c r="AN50" s="36">
        <v>90.47</v>
      </c>
      <c r="AO50" s="37"/>
      <c r="AP50" s="63"/>
      <c r="AQ50" s="35">
        <v>45</v>
      </c>
      <c r="AR50" s="36">
        <v>59.03</v>
      </c>
      <c r="AS50" s="37"/>
      <c r="AT50" s="36">
        <v>51.15</v>
      </c>
      <c r="AU50" s="37"/>
      <c r="AW50" s="40"/>
      <c r="AX50" s="35">
        <v>45</v>
      </c>
      <c r="AY50" s="36">
        <v>37.19</v>
      </c>
      <c r="AZ50" s="37"/>
      <c r="BA50" s="36">
        <v>31.1</v>
      </c>
      <c r="BB50" s="37"/>
    </row>
    <row r="51" spans="1:54" x14ac:dyDescent="0.35">
      <c r="A51" s="35">
        <v>46</v>
      </c>
      <c r="B51" s="36">
        <v>416.45</v>
      </c>
      <c r="C51" s="37"/>
      <c r="D51" s="36">
        <v>354.51</v>
      </c>
      <c r="E51" s="37"/>
      <c r="G51" s="35">
        <v>46</v>
      </c>
      <c r="H51" s="36">
        <v>220.77</v>
      </c>
      <c r="I51" s="37"/>
      <c r="J51" s="36">
        <v>188.26</v>
      </c>
      <c r="K51" s="37"/>
      <c r="L51" s="40"/>
      <c r="M51" s="35">
        <v>46</v>
      </c>
      <c r="N51" s="36">
        <v>93.95</v>
      </c>
      <c r="O51" s="37"/>
      <c r="P51" s="36">
        <v>80.099999999999994</v>
      </c>
      <c r="Q51" s="37"/>
      <c r="R51" s="61"/>
      <c r="S51" s="35">
        <v>46</v>
      </c>
      <c r="T51" s="36">
        <v>51.5</v>
      </c>
      <c r="U51" s="37"/>
      <c r="V51" s="36">
        <v>43.74</v>
      </c>
      <c r="W51" s="37"/>
      <c r="X51" s="39"/>
      <c r="Y51" s="35">
        <v>46</v>
      </c>
      <c r="Z51" s="36">
        <v>466.24</v>
      </c>
      <c r="AA51" s="37"/>
      <c r="AB51" s="36">
        <v>405.36</v>
      </c>
      <c r="AC51" s="37"/>
      <c r="AE51" s="35">
        <v>46</v>
      </c>
      <c r="AF51" s="36">
        <v>283.27</v>
      </c>
      <c r="AG51" s="37"/>
      <c r="AH51" s="36">
        <v>237.22</v>
      </c>
      <c r="AI51" s="37"/>
      <c r="AK51" s="35">
        <v>46</v>
      </c>
      <c r="AL51" s="36">
        <v>108.5</v>
      </c>
      <c r="AM51" s="37"/>
      <c r="AN51" s="36">
        <v>94.64</v>
      </c>
      <c r="AO51" s="37"/>
      <c r="AP51" s="63"/>
      <c r="AQ51" s="35">
        <v>46</v>
      </c>
      <c r="AR51" s="36">
        <v>61.96</v>
      </c>
      <c r="AS51" s="37"/>
      <c r="AT51" s="36">
        <v>53.77</v>
      </c>
      <c r="AU51" s="37"/>
      <c r="AW51" s="40"/>
      <c r="AX51" s="35">
        <v>46</v>
      </c>
      <c r="AY51" s="36">
        <v>38.56</v>
      </c>
      <c r="AZ51" s="37"/>
      <c r="BA51" s="36">
        <v>32.520000000000003</v>
      </c>
      <c r="BB51" s="37"/>
    </row>
    <row r="52" spans="1:54" x14ac:dyDescent="0.35">
      <c r="A52" s="35">
        <v>47</v>
      </c>
      <c r="B52" s="36">
        <v>430.36</v>
      </c>
      <c r="C52" s="37"/>
      <c r="D52" s="36">
        <v>366.97</v>
      </c>
      <c r="E52" s="37"/>
      <c r="G52" s="35">
        <v>47</v>
      </c>
      <c r="H52" s="36">
        <v>229.05</v>
      </c>
      <c r="I52" s="37"/>
      <c r="J52" s="36">
        <v>194.83</v>
      </c>
      <c r="K52" s="37"/>
      <c r="L52" s="40"/>
      <c r="M52" s="35">
        <v>47</v>
      </c>
      <c r="N52" s="36">
        <v>97.09</v>
      </c>
      <c r="O52" s="37"/>
      <c r="P52" s="36">
        <v>82.88</v>
      </c>
      <c r="Q52" s="37"/>
      <c r="R52" s="61"/>
      <c r="S52" s="35">
        <v>47</v>
      </c>
      <c r="T52" s="36">
        <v>53.32</v>
      </c>
      <c r="U52" s="37"/>
      <c r="V52" s="36">
        <v>45.31</v>
      </c>
      <c r="W52" s="37"/>
      <c r="X52" s="39"/>
      <c r="Y52" s="35">
        <v>47</v>
      </c>
      <c r="Z52" s="36">
        <v>478.81</v>
      </c>
      <c r="AA52" s="37"/>
      <c r="AB52" s="36">
        <v>417.29</v>
      </c>
      <c r="AC52" s="37"/>
      <c r="AE52" s="35">
        <v>47</v>
      </c>
      <c r="AF52" s="36">
        <v>293.31</v>
      </c>
      <c r="AG52" s="37"/>
      <c r="AH52" s="36">
        <v>246.27</v>
      </c>
      <c r="AI52" s="37"/>
      <c r="AK52" s="35">
        <v>47</v>
      </c>
      <c r="AL52" s="36">
        <v>111.36</v>
      </c>
      <c r="AM52" s="37"/>
      <c r="AN52" s="36">
        <v>97.33</v>
      </c>
      <c r="AO52" s="37"/>
      <c r="AP52" s="63"/>
      <c r="AQ52" s="35">
        <v>47</v>
      </c>
      <c r="AR52" s="36">
        <v>63.67</v>
      </c>
      <c r="AS52" s="37"/>
      <c r="AT52" s="36">
        <v>55.35</v>
      </c>
      <c r="AU52" s="37"/>
      <c r="AW52" s="40"/>
      <c r="AX52" s="35">
        <v>47</v>
      </c>
      <c r="AY52" s="36">
        <v>39.99</v>
      </c>
      <c r="AZ52" s="37"/>
      <c r="BA52" s="36">
        <v>33.729999999999997</v>
      </c>
      <c r="BB52" s="37"/>
    </row>
    <row r="53" spans="1:54" x14ac:dyDescent="0.35">
      <c r="A53" s="35">
        <v>48</v>
      </c>
      <c r="B53" s="36">
        <v>444.68</v>
      </c>
      <c r="C53" s="37"/>
      <c r="D53" s="36">
        <v>379.85</v>
      </c>
      <c r="E53" s="37"/>
      <c r="G53" s="35">
        <v>48</v>
      </c>
      <c r="H53" s="36">
        <v>239.39</v>
      </c>
      <c r="I53" s="37"/>
      <c r="J53" s="36">
        <v>201.46</v>
      </c>
      <c r="K53" s="37"/>
      <c r="L53" s="40"/>
      <c r="M53" s="35">
        <v>48</v>
      </c>
      <c r="N53" s="36">
        <v>100.3</v>
      </c>
      <c r="O53" s="37"/>
      <c r="P53" s="36">
        <v>85.75</v>
      </c>
      <c r="Q53" s="37"/>
      <c r="R53" s="61"/>
      <c r="S53" s="35">
        <v>48</v>
      </c>
      <c r="T53" s="36">
        <v>55.21</v>
      </c>
      <c r="U53" s="37"/>
      <c r="V53" s="36">
        <v>46.94</v>
      </c>
      <c r="W53" s="37"/>
      <c r="X53" s="39"/>
      <c r="Y53" s="35">
        <v>48</v>
      </c>
      <c r="Z53" s="36">
        <v>491.4</v>
      </c>
      <c r="AA53" s="37"/>
      <c r="AB53" s="36">
        <v>429.35</v>
      </c>
      <c r="AC53" s="37"/>
      <c r="AE53" s="35">
        <v>48</v>
      </c>
      <c r="AF53" s="36">
        <v>302.95</v>
      </c>
      <c r="AG53" s="37"/>
      <c r="AH53" s="36">
        <v>255.51</v>
      </c>
      <c r="AI53" s="37"/>
      <c r="AK53" s="35">
        <v>48</v>
      </c>
      <c r="AL53" s="36">
        <v>114.24</v>
      </c>
      <c r="AM53" s="37"/>
      <c r="AN53" s="36">
        <v>100.05</v>
      </c>
      <c r="AO53" s="37"/>
      <c r="AP53" s="63"/>
      <c r="AQ53" s="35">
        <v>48</v>
      </c>
      <c r="AR53" s="36">
        <v>65.41</v>
      </c>
      <c r="AS53" s="37"/>
      <c r="AT53" s="36">
        <v>56.96</v>
      </c>
      <c r="AU53" s="37"/>
      <c r="AW53" s="40"/>
      <c r="AX53" s="35">
        <v>48</v>
      </c>
      <c r="AY53" s="36">
        <v>41.47</v>
      </c>
      <c r="AZ53" s="37"/>
      <c r="BA53" s="36">
        <v>34.97</v>
      </c>
      <c r="BB53" s="37"/>
    </row>
    <row r="54" spans="1:54" x14ac:dyDescent="0.35">
      <c r="A54" s="35">
        <v>49</v>
      </c>
      <c r="B54" s="36">
        <v>459.05</v>
      </c>
      <c r="C54" s="37"/>
      <c r="D54" s="36">
        <v>393.02</v>
      </c>
      <c r="E54" s="37"/>
      <c r="G54" s="35">
        <v>49</v>
      </c>
      <c r="H54" s="36">
        <v>249.95</v>
      </c>
      <c r="I54" s="37"/>
      <c r="J54" s="36">
        <v>208.52</v>
      </c>
      <c r="K54" s="37"/>
      <c r="L54" s="40"/>
      <c r="M54" s="35">
        <v>49</v>
      </c>
      <c r="N54" s="36">
        <v>103.59</v>
      </c>
      <c r="O54" s="37"/>
      <c r="P54" s="36">
        <v>88.7</v>
      </c>
      <c r="Q54" s="37"/>
      <c r="R54" s="61"/>
      <c r="S54" s="35">
        <v>49</v>
      </c>
      <c r="T54" s="36">
        <v>57.11</v>
      </c>
      <c r="U54" s="37"/>
      <c r="V54" s="36">
        <v>48.62</v>
      </c>
      <c r="W54" s="37"/>
      <c r="X54" s="39"/>
      <c r="Y54" s="35">
        <v>49</v>
      </c>
      <c r="Z54" s="36">
        <v>504</v>
      </c>
      <c r="AA54" s="37"/>
      <c r="AB54" s="36">
        <v>441.52</v>
      </c>
      <c r="AC54" s="37"/>
      <c r="AE54" s="35">
        <v>49</v>
      </c>
      <c r="AF54" s="36">
        <v>313.27</v>
      </c>
      <c r="AG54" s="37"/>
      <c r="AH54" s="36">
        <v>264.95999999999998</v>
      </c>
      <c r="AI54" s="37"/>
      <c r="AK54" s="35">
        <v>49</v>
      </c>
      <c r="AL54" s="36">
        <v>117.09</v>
      </c>
      <c r="AM54" s="37"/>
      <c r="AN54" s="36">
        <v>102.8</v>
      </c>
      <c r="AO54" s="37"/>
      <c r="AP54" s="63"/>
      <c r="AQ54" s="35">
        <v>49</v>
      </c>
      <c r="AR54" s="36">
        <v>67.150000000000006</v>
      </c>
      <c r="AS54" s="37"/>
      <c r="AT54" s="36">
        <v>58.58</v>
      </c>
      <c r="AU54" s="37"/>
      <c r="AW54" s="40"/>
      <c r="AX54" s="35">
        <v>49</v>
      </c>
      <c r="AY54" s="36">
        <v>42.98</v>
      </c>
      <c r="AZ54" s="37"/>
      <c r="BA54" s="36">
        <v>36.270000000000003</v>
      </c>
      <c r="BB54" s="37"/>
    </row>
    <row r="55" spans="1:54" x14ac:dyDescent="0.35">
      <c r="A55" s="35">
        <v>50</v>
      </c>
      <c r="B55" s="36">
        <v>473.4</v>
      </c>
      <c r="C55" s="37"/>
      <c r="D55" s="36">
        <v>406.59</v>
      </c>
      <c r="E55" s="37"/>
      <c r="G55" s="35">
        <v>50</v>
      </c>
      <c r="H55" s="36">
        <v>260.70999999999998</v>
      </c>
      <c r="I55" s="37"/>
      <c r="J55" s="36">
        <v>215.76</v>
      </c>
      <c r="K55" s="37"/>
      <c r="L55" s="40"/>
      <c r="M55" s="35">
        <v>50</v>
      </c>
      <c r="N55" s="36">
        <v>106.89</v>
      </c>
      <c r="O55" s="37"/>
      <c r="P55" s="36">
        <v>91.75</v>
      </c>
      <c r="Q55" s="37"/>
      <c r="R55" s="61"/>
      <c r="S55" s="35">
        <v>50</v>
      </c>
      <c r="T55" s="36">
        <v>59.05</v>
      </c>
      <c r="U55" s="37"/>
      <c r="V55" s="36">
        <v>50.38</v>
      </c>
      <c r="W55" s="37"/>
      <c r="X55" s="39"/>
      <c r="Y55" s="35">
        <v>50</v>
      </c>
      <c r="Z55" s="36">
        <v>516.59</v>
      </c>
      <c r="AA55" s="37"/>
      <c r="AB55" s="36">
        <v>453.81</v>
      </c>
      <c r="AC55" s="37"/>
      <c r="AE55" s="35">
        <v>50</v>
      </c>
      <c r="AF55" s="36">
        <v>323.75</v>
      </c>
      <c r="AG55" s="37"/>
      <c r="AH55" s="36">
        <v>274.63</v>
      </c>
      <c r="AI55" s="37"/>
      <c r="AJ55" s="50"/>
      <c r="AK55" s="35">
        <v>50</v>
      </c>
      <c r="AL55" s="36">
        <v>120.02</v>
      </c>
      <c r="AM55" s="37"/>
      <c r="AN55" s="36">
        <v>105.59</v>
      </c>
      <c r="AO55" s="37"/>
      <c r="AP55" s="63"/>
      <c r="AQ55" s="35">
        <v>50</v>
      </c>
      <c r="AR55" s="36">
        <v>68.91</v>
      </c>
      <c r="AS55" s="37"/>
      <c r="AT55" s="36">
        <v>60.24</v>
      </c>
      <c r="AU55" s="37"/>
      <c r="AW55" s="40"/>
      <c r="AX55" s="35">
        <v>50</v>
      </c>
      <c r="AY55" s="36">
        <v>44.52</v>
      </c>
      <c r="AZ55" s="37"/>
      <c r="BA55" s="36">
        <v>37.630000000000003</v>
      </c>
      <c r="BB55" s="37"/>
    </row>
    <row r="56" spans="1:54" x14ac:dyDescent="0.35">
      <c r="A56" s="35">
        <v>51</v>
      </c>
      <c r="B56" s="36">
        <v>488.24</v>
      </c>
      <c r="C56" s="37"/>
      <c r="D56" s="36">
        <v>420.42</v>
      </c>
      <c r="E56" s="37"/>
      <c r="G56" s="35">
        <v>51</v>
      </c>
      <c r="H56" s="36">
        <v>271.93</v>
      </c>
      <c r="I56" s="37"/>
      <c r="J56" s="36">
        <v>223.04</v>
      </c>
      <c r="K56" s="37"/>
      <c r="L56" s="40"/>
      <c r="M56" s="35">
        <v>51</v>
      </c>
      <c r="N56" s="36">
        <v>110.3</v>
      </c>
      <c r="O56" s="37"/>
      <c r="P56" s="36">
        <v>94.87</v>
      </c>
      <c r="Q56" s="37"/>
      <c r="R56" s="61"/>
      <c r="S56" s="35">
        <v>51</v>
      </c>
      <c r="T56" s="36">
        <v>61.06</v>
      </c>
      <c r="U56" s="37"/>
      <c r="V56" s="36">
        <v>52.17</v>
      </c>
      <c r="W56" s="37"/>
      <c r="X56" s="39"/>
      <c r="Y56" s="35">
        <v>51</v>
      </c>
      <c r="Z56" s="36">
        <v>529</v>
      </c>
      <c r="AA56" s="37"/>
      <c r="AB56" s="36">
        <v>466.12</v>
      </c>
      <c r="AC56" s="37"/>
      <c r="AE56" s="35">
        <v>51</v>
      </c>
      <c r="AF56" s="36">
        <v>334.16</v>
      </c>
      <c r="AG56" s="37"/>
      <c r="AH56" s="36">
        <v>284.43</v>
      </c>
      <c r="AI56" s="37"/>
      <c r="AK56" s="35">
        <v>51</v>
      </c>
      <c r="AL56" s="36">
        <v>122.89</v>
      </c>
      <c r="AM56" s="37"/>
      <c r="AN56" s="36">
        <v>108.39</v>
      </c>
      <c r="AO56" s="37"/>
      <c r="AP56" s="63"/>
      <c r="AQ56" s="35">
        <v>51</v>
      </c>
      <c r="AR56" s="36">
        <v>70.66</v>
      </c>
      <c r="AS56" s="37"/>
      <c r="AT56" s="36">
        <v>61.9</v>
      </c>
      <c r="AU56" s="37"/>
      <c r="AW56" s="40"/>
      <c r="AX56" s="35">
        <v>51</v>
      </c>
      <c r="AY56" s="36">
        <v>46.12</v>
      </c>
      <c r="AZ56" s="37"/>
      <c r="BA56" s="36">
        <v>39.020000000000003</v>
      </c>
      <c r="BB56" s="37"/>
    </row>
    <row r="57" spans="1:54" x14ac:dyDescent="0.35">
      <c r="A57" s="35">
        <v>52</v>
      </c>
      <c r="B57" s="36">
        <v>503.36</v>
      </c>
      <c r="C57" s="37"/>
      <c r="D57" s="36">
        <v>434.41</v>
      </c>
      <c r="E57" s="37"/>
      <c r="G57" s="35">
        <v>52</v>
      </c>
      <c r="H57" s="36">
        <v>283.14999999999998</v>
      </c>
      <c r="I57" s="37"/>
      <c r="J57" s="36">
        <v>233.14</v>
      </c>
      <c r="K57" s="37"/>
      <c r="L57" s="40"/>
      <c r="M57" s="35">
        <v>52</v>
      </c>
      <c r="N57" s="36">
        <v>113.77</v>
      </c>
      <c r="O57" s="37"/>
      <c r="P57" s="36">
        <v>98.04</v>
      </c>
      <c r="Q57" s="37"/>
      <c r="R57" s="61"/>
      <c r="S57" s="35">
        <v>52</v>
      </c>
      <c r="T57" s="36">
        <v>63.12</v>
      </c>
      <c r="U57" s="37"/>
      <c r="V57" s="36">
        <v>54</v>
      </c>
      <c r="W57" s="37"/>
      <c r="X57" s="39"/>
      <c r="Y57" s="35">
        <v>52</v>
      </c>
      <c r="Z57" s="36">
        <v>541.38</v>
      </c>
      <c r="AA57" s="37"/>
      <c r="AB57" s="36">
        <v>478.39</v>
      </c>
      <c r="AC57" s="37"/>
      <c r="AE57" s="35">
        <v>52</v>
      </c>
      <c r="AF57" s="36">
        <v>344.63</v>
      </c>
      <c r="AG57" s="37"/>
      <c r="AH57" s="36">
        <v>294.32</v>
      </c>
      <c r="AI57" s="37"/>
      <c r="AK57" s="35">
        <v>52</v>
      </c>
      <c r="AL57" s="36">
        <v>125.75</v>
      </c>
      <c r="AM57" s="37"/>
      <c r="AN57" s="36">
        <v>111.18</v>
      </c>
      <c r="AO57" s="37"/>
      <c r="AP57" s="63"/>
      <c r="AQ57" s="35">
        <v>52</v>
      </c>
      <c r="AR57" s="36">
        <v>72.42</v>
      </c>
      <c r="AS57" s="37"/>
      <c r="AT57" s="36">
        <v>63.57</v>
      </c>
      <c r="AU57" s="37"/>
      <c r="AW57" s="40"/>
      <c r="AX57" s="35">
        <v>52</v>
      </c>
      <c r="AY57" s="36">
        <v>47.75</v>
      </c>
      <c r="AZ57" s="37"/>
      <c r="BA57" s="36">
        <v>40.450000000000003</v>
      </c>
      <c r="BB57" s="37"/>
    </row>
    <row r="58" spans="1:54" x14ac:dyDescent="0.35">
      <c r="A58" s="35">
        <v>53</v>
      </c>
      <c r="B58" s="36">
        <v>518.58000000000004</v>
      </c>
      <c r="C58" s="37"/>
      <c r="D58" s="36">
        <v>448.89</v>
      </c>
      <c r="E58" s="37"/>
      <c r="G58" s="35">
        <v>53</v>
      </c>
      <c r="H58" s="36">
        <v>295.04000000000002</v>
      </c>
      <c r="I58" s="37"/>
      <c r="J58" s="36">
        <v>243.71</v>
      </c>
      <c r="K58" s="37"/>
      <c r="L58" s="40"/>
      <c r="M58" s="35">
        <v>53</v>
      </c>
      <c r="N58" s="36">
        <v>117.3</v>
      </c>
      <c r="O58" s="37"/>
      <c r="P58" s="36">
        <v>101.29</v>
      </c>
      <c r="Q58" s="37"/>
      <c r="R58" s="61"/>
      <c r="S58" s="35">
        <v>53</v>
      </c>
      <c r="T58" s="36">
        <v>65.23</v>
      </c>
      <c r="U58" s="37"/>
      <c r="V58" s="36">
        <v>55.9</v>
      </c>
      <c r="W58" s="37"/>
      <c r="X58" s="39"/>
      <c r="Y58" s="35">
        <v>53</v>
      </c>
      <c r="Z58" s="36">
        <v>553.71</v>
      </c>
      <c r="AA58" s="37"/>
      <c r="AB58" s="36">
        <v>490.68</v>
      </c>
      <c r="AC58" s="37"/>
      <c r="AE58" s="35">
        <v>53</v>
      </c>
      <c r="AF58" s="36">
        <v>355.15</v>
      </c>
      <c r="AG58" s="37"/>
      <c r="AH58" s="36">
        <v>304.33999999999997</v>
      </c>
      <c r="AI58" s="37"/>
      <c r="AK58" s="35">
        <v>53</v>
      </c>
      <c r="AL58" s="36">
        <v>128.59</v>
      </c>
      <c r="AM58" s="37"/>
      <c r="AN58" s="36">
        <v>113.92</v>
      </c>
      <c r="AO58" s="37"/>
      <c r="AP58" s="63"/>
      <c r="AQ58" s="35">
        <v>53</v>
      </c>
      <c r="AR58" s="36">
        <v>74.180000000000007</v>
      </c>
      <c r="AS58" s="37"/>
      <c r="AT58" s="36">
        <v>65.239999999999995</v>
      </c>
      <c r="AU58" s="37"/>
      <c r="AW58" s="40"/>
      <c r="AX58" s="35">
        <v>53</v>
      </c>
      <c r="AY58" s="36">
        <v>49.45</v>
      </c>
      <c r="AZ58" s="37"/>
      <c r="BA58" s="36">
        <v>41.94</v>
      </c>
      <c r="BB58" s="37"/>
    </row>
    <row r="59" spans="1:54" x14ac:dyDescent="0.35">
      <c r="A59" s="35">
        <v>54</v>
      </c>
      <c r="B59" s="36">
        <v>534.07000000000005</v>
      </c>
      <c r="C59" s="37"/>
      <c r="D59" s="36">
        <v>463.44</v>
      </c>
      <c r="E59" s="37"/>
      <c r="G59" s="35">
        <v>54</v>
      </c>
      <c r="H59" s="36">
        <v>307.26</v>
      </c>
      <c r="I59" s="37"/>
      <c r="J59" s="36">
        <v>254.54</v>
      </c>
      <c r="K59" s="37"/>
      <c r="L59" s="40"/>
      <c r="M59" s="35">
        <v>54</v>
      </c>
      <c r="N59" s="36">
        <v>120.88</v>
      </c>
      <c r="O59" s="37"/>
      <c r="P59" s="36">
        <v>104.61</v>
      </c>
      <c r="Q59" s="37"/>
      <c r="R59" s="61"/>
      <c r="S59" s="35">
        <v>54</v>
      </c>
      <c r="T59" s="36">
        <v>67.38</v>
      </c>
      <c r="U59" s="37"/>
      <c r="V59" s="36">
        <v>57.81</v>
      </c>
      <c r="W59" s="37"/>
      <c r="X59" s="39"/>
      <c r="Y59" s="35">
        <v>54</v>
      </c>
      <c r="Z59" s="36">
        <v>566.03</v>
      </c>
      <c r="AA59" s="37"/>
      <c r="AB59" s="36">
        <v>502.98</v>
      </c>
      <c r="AC59" s="37"/>
      <c r="AE59" s="35">
        <v>54</v>
      </c>
      <c r="AF59" s="36">
        <v>365.77</v>
      </c>
      <c r="AG59" s="37"/>
      <c r="AH59" s="36">
        <v>314.02999999999997</v>
      </c>
      <c r="AI59" s="37"/>
      <c r="AK59" s="35">
        <v>54</v>
      </c>
      <c r="AL59" s="36">
        <v>131.44999999999999</v>
      </c>
      <c r="AM59" s="37"/>
      <c r="AN59" s="36">
        <v>116.75</v>
      </c>
      <c r="AO59" s="37"/>
      <c r="AP59" s="63"/>
      <c r="AQ59" s="35">
        <v>54</v>
      </c>
      <c r="AR59" s="36">
        <v>75.97</v>
      </c>
      <c r="AS59" s="37"/>
      <c r="AT59" s="36">
        <v>66.930000000000007</v>
      </c>
      <c r="AU59" s="37"/>
      <c r="AW59" s="40"/>
      <c r="AX59" s="35">
        <v>54</v>
      </c>
      <c r="AY59" s="36">
        <v>51.2</v>
      </c>
      <c r="AZ59" s="37"/>
      <c r="BA59" s="36">
        <v>43.46</v>
      </c>
      <c r="BB59" s="37"/>
    </row>
    <row r="60" spans="1:54" x14ac:dyDescent="0.35">
      <c r="A60" s="35">
        <v>55</v>
      </c>
      <c r="B60" s="36">
        <v>549.76</v>
      </c>
      <c r="C60" s="37"/>
      <c r="D60" s="36">
        <v>478.38</v>
      </c>
      <c r="E60" s="37"/>
      <c r="G60" s="35">
        <v>55</v>
      </c>
      <c r="H60" s="36">
        <v>319.83999999999997</v>
      </c>
      <c r="I60" s="37"/>
      <c r="J60" s="36">
        <v>265.8</v>
      </c>
      <c r="K60" s="37"/>
      <c r="L60" s="40"/>
      <c r="M60" s="35">
        <v>55</v>
      </c>
      <c r="N60" s="36">
        <v>124.47</v>
      </c>
      <c r="O60" s="37"/>
      <c r="P60" s="36">
        <v>108.02</v>
      </c>
      <c r="Q60" s="37"/>
      <c r="R60" s="61"/>
      <c r="S60" s="35">
        <v>55</v>
      </c>
      <c r="T60" s="36">
        <v>69.59</v>
      </c>
      <c r="U60" s="37"/>
      <c r="V60" s="36">
        <v>59.81</v>
      </c>
      <c r="W60" s="37"/>
      <c r="X60" s="39"/>
      <c r="Y60" s="35">
        <v>55</v>
      </c>
      <c r="Z60" s="36">
        <v>578.39</v>
      </c>
      <c r="AA60" s="37"/>
      <c r="AB60" s="36">
        <v>515.29999999999995</v>
      </c>
      <c r="AC60" s="37"/>
      <c r="AE60" s="35">
        <v>55</v>
      </c>
      <c r="AF60" s="36">
        <v>376.52</v>
      </c>
      <c r="AG60" s="37"/>
      <c r="AH60" s="36">
        <v>324.31</v>
      </c>
      <c r="AI60" s="37"/>
      <c r="AK60" s="35">
        <v>55</v>
      </c>
      <c r="AL60" s="36">
        <v>134.28</v>
      </c>
      <c r="AM60" s="37"/>
      <c r="AN60" s="36">
        <v>119.57</v>
      </c>
      <c r="AO60" s="37"/>
      <c r="AP60" s="63"/>
      <c r="AQ60" s="35">
        <v>55</v>
      </c>
      <c r="AR60" s="36">
        <v>77.78</v>
      </c>
      <c r="AS60" s="37"/>
      <c r="AT60" s="36">
        <v>68.599999999999994</v>
      </c>
      <c r="AU60" s="37"/>
      <c r="AW60" s="40"/>
      <c r="AX60" s="35">
        <v>55</v>
      </c>
      <c r="AY60" s="36">
        <v>53.02</v>
      </c>
      <c r="AZ60" s="37"/>
      <c r="BA60" s="36">
        <v>45.03</v>
      </c>
      <c r="BB60" s="37"/>
    </row>
    <row r="61" spans="1:54" x14ac:dyDescent="0.35">
      <c r="A61" s="35">
        <v>56</v>
      </c>
      <c r="B61" s="36">
        <v>565.63</v>
      </c>
      <c r="C61" s="37"/>
      <c r="D61" s="36">
        <v>493.68</v>
      </c>
      <c r="E61" s="37"/>
      <c r="G61" s="35">
        <v>56</v>
      </c>
      <c r="H61" s="36">
        <v>332.81</v>
      </c>
      <c r="I61" s="37"/>
      <c r="J61" s="36">
        <v>277.5</v>
      </c>
      <c r="K61" s="37"/>
      <c r="L61" s="40"/>
      <c r="M61" s="35">
        <v>56</v>
      </c>
      <c r="N61" s="36">
        <v>128.21</v>
      </c>
      <c r="O61" s="37"/>
      <c r="P61" s="36">
        <v>111.51</v>
      </c>
      <c r="Q61" s="37"/>
      <c r="R61" s="61"/>
      <c r="S61" s="35">
        <v>56</v>
      </c>
      <c r="T61" s="36">
        <v>71.86</v>
      </c>
      <c r="U61" s="37"/>
      <c r="V61" s="36">
        <v>61.86</v>
      </c>
      <c r="W61" s="37"/>
      <c r="X61" s="39"/>
      <c r="Y61" s="35">
        <v>56</v>
      </c>
      <c r="Z61" s="36">
        <v>590.77</v>
      </c>
      <c r="AA61" s="37"/>
      <c r="AB61" s="36">
        <v>527.54</v>
      </c>
      <c r="AC61" s="37"/>
      <c r="AE61" s="35">
        <v>56</v>
      </c>
      <c r="AF61" s="36">
        <v>387.42</v>
      </c>
      <c r="AG61" s="37"/>
      <c r="AH61" s="36">
        <v>334.67</v>
      </c>
      <c r="AI61" s="37"/>
      <c r="AK61" s="35">
        <v>56</v>
      </c>
      <c r="AL61" s="36">
        <v>137.24</v>
      </c>
      <c r="AM61" s="37"/>
      <c r="AN61" s="36">
        <v>122.37</v>
      </c>
      <c r="AO61" s="37"/>
      <c r="AP61" s="63"/>
      <c r="AQ61" s="35">
        <v>56</v>
      </c>
      <c r="AR61" s="36">
        <v>79.63</v>
      </c>
      <c r="AS61" s="37"/>
      <c r="AT61" s="36">
        <v>70.3</v>
      </c>
      <c r="AU61" s="37"/>
      <c r="AW61" s="40"/>
      <c r="AX61" s="35">
        <v>56</v>
      </c>
      <c r="AY61" s="36">
        <v>54.91</v>
      </c>
      <c r="AZ61" s="37"/>
      <c r="BA61" s="36">
        <v>46.67</v>
      </c>
      <c r="BB61" s="37"/>
    </row>
    <row r="62" spans="1:54" x14ac:dyDescent="0.35">
      <c r="A62" s="35">
        <v>57</v>
      </c>
      <c r="B62" s="36">
        <v>581.54999999999995</v>
      </c>
      <c r="C62" s="37"/>
      <c r="D62" s="36">
        <v>509.17</v>
      </c>
      <c r="E62" s="37"/>
      <c r="G62" s="35">
        <v>57</v>
      </c>
      <c r="H62" s="36">
        <v>346.02</v>
      </c>
      <c r="I62" s="37"/>
      <c r="J62" s="36">
        <v>289.56</v>
      </c>
      <c r="K62" s="37"/>
      <c r="L62" s="40"/>
      <c r="M62" s="35">
        <v>57</v>
      </c>
      <c r="N62" s="36">
        <v>131.97</v>
      </c>
      <c r="O62" s="37"/>
      <c r="P62" s="36">
        <v>115.06</v>
      </c>
      <c r="Q62" s="37"/>
      <c r="R62" s="61"/>
      <c r="S62" s="35">
        <v>57</v>
      </c>
      <c r="T62" s="36">
        <v>74.150000000000006</v>
      </c>
      <c r="U62" s="37"/>
      <c r="V62" s="36">
        <v>63.96</v>
      </c>
      <c r="W62" s="37"/>
      <c r="X62" s="39"/>
      <c r="Y62" s="35">
        <v>57</v>
      </c>
      <c r="Z62" s="36">
        <v>603.05999999999995</v>
      </c>
      <c r="AA62" s="37"/>
      <c r="AB62" s="36">
        <v>539.83000000000004</v>
      </c>
      <c r="AC62" s="37"/>
      <c r="AE62" s="35">
        <v>57</v>
      </c>
      <c r="AF62" s="36">
        <v>398.32</v>
      </c>
      <c r="AG62" s="37"/>
      <c r="AH62" s="36">
        <v>345.13</v>
      </c>
      <c r="AI62" s="37"/>
      <c r="AK62" s="35">
        <v>57</v>
      </c>
      <c r="AL62" s="36">
        <v>140.15</v>
      </c>
      <c r="AM62" s="37"/>
      <c r="AN62" s="36">
        <v>125.16</v>
      </c>
      <c r="AO62" s="37"/>
      <c r="AP62" s="63"/>
      <c r="AQ62" s="35">
        <v>57</v>
      </c>
      <c r="AR62" s="36">
        <v>81.45</v>
      </c>
      <c r="AS62" s="37"/>
      <c r="AT62" s="36">
        <v>72.010000000000005</v>
      </c>
      <c r="AU62" s="37"/>
      <c r="AW62" s="40"/>
      <c r="AX62" s="35">
        <v>57</v>
      </c>
      <c r="AY62" s="36">
        <v>56.84</v>
      </c>
      <c r="AZ62" s="37"/>
      <c r="BA62" s="36">
        <v>48.34</v>
      </c>
      <c r="BB62" s="37"/>
    </row>
    <row r="63" spans="1:54" x14ac:dyDescent="0.35">
      <c r="A63" s="35">
        <v>58</v>
      </c>
      <c r="B63" s="36">
        <v>597.5</v>
      </c>
      <c r="C63" s="37"/>
      <c r="D63" s="36">
        <v>524.79</v>
      </c>
      <c r="E63" s="37"/>
      <c r="G63" s="35">
        <v>58</v>
      </c>
      <c r="H63" s="36">
        <v>359.5</v>
      </c>
      <c r="I63" s="37"/>
      <c r="J63" s="36">
        <v>301.89999999999998</v>
      </c>
      <c r="K63" s="37"/>
      <c r="L63" s="40"/>
      <c r="M63" s="35">
        <v>58</v>
      </c>
      <c r="N63" s="36">
        <v>135.76</v>
      </c>
      <c r="O63" s="37"/>
      <c r="P63" s="36">
        <v>118.64</v>
      </c>
      <c r="Q63" s="37"/>
      <c r="R63" s="61"/>
      <c r="S63" s="35">
        <v>58</v>
      </c>
      <c r="T63" s="36">
        <v>76.510000000000005</v>
      </c>
      <c r="U63" s="37"/>
      <c r="V63" s="36">
        <v>66.099999999999994</v>
      </c>
      <c r="W63" s="37"/>
      <c r="X63" s="39"/>
      <c r="Y63" s="35">
        <v>58</v>
      </c>
      <c r="Z63" s="36">
        <v>615.34</v>
      </c>
      <c r="AA63" s="37"/>
      <c r="AB63" s="36">
        <v>552.13</v>
      </c>
      <c r="AC63" s="37"/>
      <c r="AE63" s="35">
        <v>58</v>
      </c>
      <c r="AF63" s="36">
        <v>409.29</v>
      </c>
      <c r="AG63" s="37"/>
      <c r="AH63" s="36">
        <v>355.71</v>
      </c>
      <c r="AI63" s="37"/>
      <c r="AK63" s="35">
        <v>58</v>
      </c>
      <c r="AL63" s="36">
        <v>143.16</v>
      </c>
      <c r="AM63" s="37"/>
      <c r="AN63" s="36">
        <v>127.97</v>
      </c>
      <c r="AO63" s="37"/>
      <c r="AP63" s="63"/>
      <c r="AQ63" s="35">
        <v>58</v>
      </c>
      <c r="AR63" s="36">
        <v>83.36</v>
      </c>
      <c r="AS63" s="37"/>
      <c r="AT63" s="36">
        <v>73.75</v>
      </c>
      <c r="AU63" s="37"/>
      <c r="AW63" s="40"/>
      <c r="AX63" s="35">
        <v>58</v>
      </c>
      <c r="AY63" s="36">
        <v>58.83</v>
      </c>
      <c r="AZ63" s="37"/>
      <c r="BA63" s="36">
        <v>50.08</v>
      </c>
      <c r="BB63" s="37"/>
    </row>
    <row r="64" spans="1:54" x14ac:dyDescent="0.35">
      <c r="A64" s="35">
        <v>59</v>
      </c>
      <c r="B64" s="36">
        <v>613.44000000000005</v>
      </c>
      <c r="C64" s="37"/>
      <c r="D64" s="36">
        <v>540.66</v>
      </c>
      <c r="E64" s="37"/>
      <c r="G64" s="35">
        <v>59</v>
      </c>
      <c r="H64" s="36">
        <v>373.2</v>
      </c>
      <c r="I64" s="37"/>
      <c r="J64" s="36">
        <v>314.25</v>
      </c>
      <c r="K64" s="37"/>
      <c r="L64" s="40"/>
      <c r="M64" s="35">
        <v>59</v>
      </c>
      <c r="N64" s="36">
        <v>139.57</v>
      </c>
      <c r="O64" s="37"/>
      <c r="P64" s="36">
        <v>122.24</v>
      </c>
      <c r="Q64" s="37"/>
      <c r="R64" s="61"/>
      <c r="S64" s="35">
        <v>59</v>
      </c>
      <c r="T64" s="36">
        <v>78.92</v>
      </c>
      <c r="U64" s="37"/>
      <c r="V64" s="36">
        <v>68.3</v>
      </c>
      <c r="W64" s="37"/>
      <c r="X64" s="39"/>
      <c r="Y64" s="35">
        <v>59</v>
      </c>
      <c r="Z64" s="36">
        <v>627.65</v>
      </c>
      <c r="AA64" s="37"/>
      <c r="AB64" s="36">
        <v>564.46</v>
      </c>
      <c r="AC64" s="37"/>
      <c r="AE64" s="35">
        <v>59</v>
      </c>
      <c r="AF64" s="36">
        <v>420.35</v>
      </c>
      <c r="AG64" s="37"/>
      <c r="AH64" s="36">
        <v>366.43</v>
      </c>
      <c r="AI64" s="37"/>
      <c r="AK64" s="35">
        <v>59</v>
      </c>
      <c r="AL64" s="36">
        <v>147.4</v>
      </c>
      <c r="AM64" s="37"/>
      <c r="AN64" s="36">
        <v>130.74</v>
      </c>
      <c r="AO64" s="37"/>
      <c r="AP64" s="63"/>
      <c r="AQ64" s="35">
        <v>59</v>
      </c>
      <c r="AR64" s="36">
        <v>85.3</v>
      </c>
      <c r="AS64" s="37"/>
      <c r="AT64" s="36">
        <v>75.53</v>
      </c>
      <c r="AU64" s="37"/>
      <c r="AW64" s="40"/>
      <c r="AX64" s="35">
        <v>59</v>
      </c>
      <c r="AY64" s="36">
        <v>60.88</v>
      </c>
      <c r="AZ64" s="37"/>
      <c r="BA64" s="36">
        <v>51.89</v>
      </c>
      <c r="BB64" s="37"/>
    </row>
    <row r="65" spans="1:54" x14ac:dyDescent="0.35">
      <c r="A65" s="35">
        <v>60</v>
      </c>
      <c r="B65" s="36">
        <v>629.32000000000005</v>
      </c>
      <c r="C65" s="37"/>
      <c r="D65" s="36">
        <v>556.65</v>
      </c>
      <c r="E65" s="37"/>
      <c r="G65" s="35">
        <v>60</v>
      </c>
      <c r="H65" s="36">
        <v>387.14</v>
      </c>
      <c r="I65" s="37"/>
      <c r="J65" s="36">
        <v>327.37</v>
      </c>
      <c r="K65" s="37"/>
      <c r="L65" s="40"/>
      <c r="M65" s="35">
        <v>60</v>
      </c>
      <c r="N65" s="36">
        <v>143.38999999999999</v>
      </c>
      <c r="O65" s="37"/>
      <c r="P65" s="36">
        <v>125.98</v>
      </c>
      <c r="Q65" s="37"/>
      <c r="R65" s="61"/>
      <c r="S65" s="35">
        <v>60</v>
      </c>
      <c r="T65" s="36">
        <v>81.37</v>
      </c>
      <c r="U65" s="37"/>
      <c r="V65" s="36">
        <v>70.56</v>
      </c>
      <c r="W65" s="37"/>
      <c r="X65" s="39"/>
      <c r="Y65" s="35">
        <v>60</v>
      </c>
      <c r="Z65" s="36">
        <v>640</v>
      </c>
      <c r="AA65" s="37"/>
      <c r="AB65" s="36">
        <v>576.84</v>
      </c>
      <c r="AC65" s="37"/>
      <c r="AE65" s="35">
        <v>60</v>
      </c>
      <c r="AF65" s="36">
        <v>431.52</v>
      </c>
      <c r="AG65" s="37"/>
      <c r="AH65" s="36">
        <v>377.31</v>
      </c>
      <c r="AI65" s="37"/>
      <c r="AK65" s="35">
        <v>60</v>
      </c>
      <c r="AL65" s="36">
        <v>151.72</v>
      </c>
      <c r="AM65" s="37"/>
      <c r="AN65" s="36">
        <v>133.66999999999999</v>
      </c>
      <c r="AO65" s="37"/>
      <c r="AP65" s="63"/>
      <c r="AQ65" s="35">
        <v>60</v>
      </c>
      <c r="AR65" s="36">
        <v>87.24</v>
      </c>
      <c r="AS65" s="37"/>
      <c r="AT65" s="36">
        <v>77.34</v>
      </c>
      <c r="AU65" s="37"/>
      <c r="AW65" s="40"/>
      <c r="AX65" s="35">
        <v>60</v>
      </c>
      <c r="AY65" s="36">
        <v>63.02</v>
      </c>
      <c r="AZ65" s="37"/>
      <c r="BA65" s="36">
        <v>53.76</v>
      </c>
      <c r="BB65" s="37"/>
    </row>
    <row r="66" spans="1:54" x14ac:dyDescent="0.35">
      <c r="A66" s="35">
        <v>61</v>
      </c>
      <c r="B66" s="36">
        <v>645.09</v>
      </c>
      <c r="C66" s="37"/>
      <c r="D66" s="36">
        <v>572.70000000000005</v>
      </c>
      <c r="E66" s="37"/>
      <c r="G66" s="35">
        <v>61</v>
      </c>
      <c r="H66" s="36">
        <v>401.26</v>
      </c>
      <c r="I66" s="37"/>
      <c r="J66" s="36">
        <v>340.78</v>
      </c>
      <c r="K66" s="37"/>
      <c r="L66" s="40"/>
      <c r="M66" s="35">
        <v>61</v>
      </c>
      <c r="N66" s="36">
        <v>147.21</v>
      </c>
      <c r="O66" s="37"/>
      <c r="P66" s="36">
        <v>129.74</v>
      </c>
      <c r="Q66" s="37"/>
      <c r="R66" s="61"/>
      <c r="S66" s="35">
        <v>61</v>
      </c>
      <c r="T66" s="36">
        <v>83.87</v>
      </c>
      <c r="U66" s="37"/>
      <c r="V66" s="36">
        <v>72.84</v>
      </c>
      <c r="W66" s="37"/>
      <c r="X66" s="39"/>
      <c r="Y66" s="35">
        <v>61</v>
      </c>
      <c r="Z66" s="36">
        <v>652.24</v>
      </c>
      <c r="AA66" s="37"/>
      <c r="AB66" s="36">
        <v>589.22</v>
      </c>
      <c r="AC66" s="37"/>
      <c r="AE66" s="35">
        <v>61</v>
      </c>
      <c r="AF66" s="36">
        <v>442.75</v>
      </c>
      <c r="AG66" s="37"/>
      <c r="AH66" s="36">
        <v>388.29</v>
      </c>
      <c r="AI66" s="37"/>
      <c r="AK66" s="35">
        <v>61</v>
      </c>
      <c r="AL66" s="36">
        <v>156.11000000000001</v>
      </c>
      <c r="AM66" s="37"/>
      <c r="AN66" s="36">
        <v>136.55000000000001</v>
      </c>
      <c r="AO66" s="37"/>
      <c r="AP66" s="63"/>
      <c r="AQ66" s="35">
        <v>61</v>
      </c>
      <c r="AR66" s="36">
        <v>89.73</v>
      </c>
      <c r="AS66" s="37"/>
      <c r="AT66" s="36">
        <v>79.17</v>
      </c>
      <c r="AU66" s="37"/>
      <c r="AW66" s="40"/>
      <c r="AX66" s="35">
        <v>61</v>
      </c>
      <c r="AY66" s="36"/>
      <c r="AZ66" s="37"/>
      <c r="BA66" s="36"/>
      <c r="BB66" s="37"/>
    </row>
    <row r="67" spans="1:54" x14ac:dyDescent="0.35">
      <c r="A67" s="35">
        <v>62</v>
      </c>
      <c r="B67" s="36">
        <v>660.48</v>
      </c>
      <c r="C67" s="37"/>
      <c r="D67" s="36">
        <v>588.58000000000004</v>
      </c>
      <c r="E67" s="37"/>
      <c r="G67" s="35">
        <v>62</v>
      </c>
      <c r="H67" s="36">
        <v>415.4</v>
      </c>
      <c r="I67" s="37"/>
      <c r="J67" s="36">
        <v>354.33</v>
      </c>
      <c r="K67" s="37"/>
      <c r="L67" s="40"/>
      <c r="M67" s="35">
        <v>62</v>
      </c>
      <c r="N67" s="36">
        <v>151.03</v>
      </c>
      <c r="O67" s="37"/>
      <c r="P67" s="36">
        <v>133.49</v>
      </c>
      <c r="Q67" s="37"/>
      <c r="R67" s="61"/>
      <c r="S67" s="35">
        <v>62</v>
      </c>
      <c r="T67" s="36">
        <v>86.39</v>
      </c>
      <c r="U67" s="37"/>
      <c r="V67" s="36">
        <v>75.17</v>
      </c>
      <c r="W67" s="37"/>
      <c r="X67" s="39"/>
      <c r="Y67" s="35">
        <v>62</v>
      </c>
      <c r="Z67" s="36">
        <v>664.53</v>
      </c>
      <c r="AA67" s="37"/>
      <c r="AB67" s="36">
        <v>601.55999999999995</v>
      </c>
      <c r="AC67" s="37"/>
      <c r="AE67" s="35">
        <v>62</v>
      </c>
      <c r="AF67" s="36">
        <v>453.97</v>
      </c>
      <c r="AG67" s="37"/>
      <c r="AH67" s="36">
        <v>399.3</v>
      </c>
      <c r="AI67" s="37"/>
      <c r="AK67" s="35">
        <v>62</v>
      </c>
      <c r="AL67" s="36">
        <v>160.55000000000001</v>
      </c>
      <c r="AM67" s="37"/>
      <c r="AN67" s="36">
        <v>139.47</v>
      </c>
      <c r="AO67" s="37"/>
      <c r="AP67" s="63"/>
      <c r="AQ67" s="35">
        <v>62</v>
      </c>
      <c r="AR67" s="36">
        <v>92.45</v>
      </c>
      <c r="AS67" s="37"/>
      <c r="AT67" s="36">
        <v>81.010000000000005</v>
      </c>
      <c r="AU67" s="37"/>
      <c r="AW67" s="40"/>
      <c r="AX67" s="35">
        <v>62</v>
      </c>
      <c r="AY67" s="36"/>
      <c r="AZ67" s="37"/>
      <c r="BA67" s="36"/>
      <c r="BB67" s="37"/>
    </row>
    <row r="68" spans="1:54" x14ac:dyDescent="0.35">
      <c r="A68" s="35">
        <v>63</v>
      </c>
      <c r="B68" s="36">
        <v>675.52</v>
      </c>
      <c r="C68" s="37"/>
      <c r="D68" s="36">
        <v>604.42999999999995</v>
      </c>
      <c r="E68" s="37"/>
      <c r="G68" s="35">
        <v>63</v>
      </c>
      <c r="H68" s="36">
        <v>429.55</v>
      </c>
      <c r="I68" s="37"/>
      <c r="J68" s="36">
        <v>368.16</v>
      </c>
      <c r="K68" s="37"/>
      <c r="L68" s="40"/>
      <c r="M68" s="35">
        <v>63</v>
      </c>
      <c r="N68" s="36">
        <v>155.18</v>
      </c>
      <c r="O68" s="37"/>
      <c r="P68" s="36">
        <v>137.27000000000001</v>
      </c>
      <c r="Q68" s="37"/>
      <c r="R68" s="61"/>
      <c r="S68" s="35">
        <v>63</v>
      </c>
      <c r="T68" s="36">
        <v>88.94</v>
      </c>
      <c r="U68" s="37"/>
      <c r="V68" s="36">
        <v>77.569999999999993</v>
      </c>
      <c r="W68" s="37"/>
      <c r="X68" s="39"/>
      <c r="Y68" s="35">
        <v>63</v>
      </c>
      <c r="Z68" s="36">
        <v>676.75</v>
      </c>
      <c r="AA68" s="37"/>
      <c r="AB68" s="36">
        <v>613.91999999999996</v>
      </c>
      <c r="AC68" s="37"/>
      <c r="AE68" s="35">
        <v>63</v>
      </c>
      <c r="AF68" s="36">
        <v>465.21</v>
      </c>
      <c r="AG68" s="37"/>
      <c r="AH68" s="36">
        <v>410.44</v>
      </c>
      <c r="AI68" s="37"/>
      <c r="AK68" s="35">
        <v>63</v>
      </c>
      <c r="AL68" s="36">
        <v>165.05</v>
      </c>
      <c r="AM68" s="37"/>
      <c r="AN68" s="36">
        <v>143.62</v>
      </c>
      <c r="AO68" s="37"/>
      <c r="AP68" s="63"/>
      <c r="AQ68" s="35">
        <v>63</v>
      </c>
      <c r="AR68" s="36">
        <v>95.27</v>
      </c>
      <c r="AS68" s="37"/>
      <c r="AT68" s="36">
        <v>82.94</v>
      </c>
      <c r="AU68" s="37"/>
      <c r="AW68" s="40"/>
      <c r="AX68" s="35">
        <v>63</v>
      </c>
      <c r="AY68" s="36"/>
      <c r="AZ68" s="37"/>
      <c r="BA68" s="36"/>
      <c r="BB68" s="37"/>
    </row>
    <row r="69" spans="1:54" x14ac:dyDescent="0.35">
      <c r="A69" s="35">
        <v>64</v>
      </c>
      <c r="B69" s="36">
        <v>690.45</v>
      </c>
      <c r="C69" s="37"/>
      <c r="D69" s="36">
        <v>620.21</v>
      </c>
      <c r="E69" s="37"/>
      <c r="G69" s="35">
        <v>64</v>
      </c>
      <c r="H69" s="36">
        <v>443.93</v>
      </c>
      <c r="I69" s="37"/>
      <c r="J69" s="36">
        <v>382.22</v>
      </c>
      <c r="K69" s="37"/>
      <c r="L69" s="40"/>
      <c r="M69" s="35">
        <v>64</v>
      </c>
      <c r="N69" s="36">
        <v>160.66</v>
      </c>
      <c r="O69" s="37"/>
      <c r="P69" s="36">
        <v>141.07</v>
      </c>
      <c r="Q69" s="37"/>
      <c r="R69" s="61"/>
      <c r="S69" s="35">
        <v>64</v>
      </c>
      <c r="T69" s="36">
        <v>91.6</v>
      </c>
      <c r="U69" s="37"/>
      <c r="V69" s="36">
        <v>80.010000000000005</v>
      </c>
      <c r="W69" s="37"/>
      <c r="X69" s="39"/>
      <c r="Y69" s="35">
        <v>64</v>
      </c>
      <c r="Z69" s="36">
        <v>688.49</v>
      </c>
      <c r="AA69" s="37"/>
      <c r="AB69" s="36">
        <v>625.04999999999995</v>
      </c>
      <c r="AC69" s="37"/>
      <c r="AE69" s="35">
        <v>64</v>
      </c>
      <c r="AF69" s="36">
        <v>476.19</v>
      </c>
      <c r="AG69" s="37"/>
      <c r="AH69" s="36">
        <v>420.83</v>
      </c>
      <c r="AI69" s="37"/>
      <c r="AK69" s="35">
        <v>64</v>
      </c>
      <c r="AL69" s="36">
        <v>169.53</v>
      </c>
      <c r="AM69" s="37"/>
      <c r="AN69" s="36">
        <v>147.66</v>
      </c>
      <c r="AO69" s="37"/>
      <c r="AP69" s="63"/>
      <c r="AQ69" s="35">
        <v>64</v>
      </c>
      <c r="AR69" s="36">
        <v>98.1</v>
      </c>
      <c r="AS69" s="37"/>
      <c r="AT69" s="36">
        <v>84.71</v>
      </c>
      <c r="AU69" s="37"/>
      <c r="AW69" s="40"/>
      <c r="AX69" s="35">
        <v>64</v>
      </c>
      <c r="AY69" s="36"/>
      <c r="AZ69" s="37"/>
      <c r="BA69" s="36"/>
      <c r="BB69" s="37"/>
    </row>
    <row r="70" spans="1:54" ht="10.25" customHeight="1" x14ac:dyDescent="0.35">
      <c r="A70" s="35">
        <v>65</v>
      </c>
      <c r="B70" s="36">
        <v>705.06</v>
      </c>
      <c r="C70" s="37"/>
      <c r="D70" s="36">
        <v>635.91</v>
      </c>
      <c r="E70" s="37"/>
      <c r="G70" s="35">
        <v>65</v>
      </c>
      <c r="H70" s="36">
        <v>458.26</v>
      </c>
      <c r="I70" s="37"/>
      <c r="J70" s="36">
        <v>396.49</v>
      </c>
      <c r="K70" s="37"/>
      <c r="L70" s="40"/>
      <c r="M70" s="35">
        <v>65</v>
      </c>
      <c r="N70" s="36">
        <v>166.2</v>
      </c>
      <c r="O70" s="37"/>
      <c r="P70" s="36">
        <v>144.87</v>
      </c>
      <c r="Q70" s="37"/>
      <c r="R70" s="61"/>
      <c r="S70" s="35">
        <v>65</v>
      </c>
      <c r="T70" s="36">
        <v>94.28</v>
      </c>
      <c r="U70" s="37"/>
      <c r="V70" s="36">
        <v>82.5</v>
      </c>
      <c r="W70" s="37"/>
      <c r="X70" s="39"/>
      <c r="Y70" s="35">
        <v>65</v>
      </c>
      <c r="Z70" s="36">
        <v>700.82</v>
      </c>
      <c r="AA70" s="37"/>
      <c r="AB70" s="36">
        <v>637.72</v>
      </c>
      <c r="AC70" s="37"/>
      <c r="AE70" s="35">
        <v>65</v>
      </c>
      <c r="AF70" s="36">
        <v>487.58</v>
      </c>
      <c r="AG70" s="37"/>
      <c r="AH70" s="36">
        <v>432.3</v>
      </c>
      <c r="AI70" s="37"/>
      <c r="AK70" s="35">
        <v>65</v>
      </c>
      <c r="AL70" s="36">
        <v>174.21</v>
      </c>
      <c r="AM70" s="37"/>
      <c r="AN70" s="36">
        <v>152.13</v>
      </c>
      <c r="AO70" s="37"/>
      <c r="AP70" s="63"/>
      <c r="AQ70" s="35">
        <v>65</v>
      </c>
      <c r="AR70" s="36">
        <v>101.11</v>
      </c>
      <c r="AS70" s="37"/>
      <c r="AT70" s="36">
        <v>87.13</v>
      </c>
      <c r="AU70" s="37"/>
      <c r="AW70" s="40"/>
      <c r="AX70" s="35">
        <v>65</v>
      </c>
      <c r="AY70" s="36"/>
      <c r="AZ70" s="37"/>
      <c r="BA70" s="36"/>
      <c r="BB70" s="37"/>
    </row>
    <row r="71" spans="1:54" x14ac:dyDescent="0.35">
      <c r="A71" s="35">
        <v>66</v>
      </c>
      <c r="B71" s="36">
        <v>719.27</v>
      </c>
      <c r="C71" s="37"/>
      <c r="D71" s="36">
        <v>651.42999999999995</v>
      </c>
      <c r="E71" s="37"/>
      <c r="G71" s="35">
        <v>66</v>
      </c>
      <c r="H71" s="36">
        <v>472.57</v>
      </c>
      <c r="I71" s="37"/>
      <c r="J71" s="36">
        <v>410.9</v>
      </c>
      <c r="K71" s="37"/>
      <c r="L71" s="40"/>
      <c r="M71" s="35">
        <v>66</v>
      </c>
      <c r="N71" s="36">
        <v>171.78</v>
      </c>
      <c r="O71" s="37"/>
      <c r="P71" s="36">
        <v>148.71</v>
      </c>
      <c r="Q71" s="37"/>
      <c r="R71" s="61"/>
      <c r="S71" s="35">
        <v>66</v>
      </c>
      <c r="T71" s="36"/>
      <c r="U71" s="37"/>
      <c r="V71" s="36"/>
      <c r="W71" s="37"/>
      <c r="X71" s="42"/>
      <c r="Y71" s="35">
        <v>66</v>
      </c>
      <c r="Z71" s="36">
        <v>713.09</v>
      </c>
      <c r="AA71" s="37"/>
      <c r="AB71" s="36">
        <v>650.54999999999995</v>
      </c>
      <c r="AC71" s="37"/>
      <c r="AE71" s="35">
        <v>66</v>
      </c>
      <c r="AF71" s="36">
        <v>498.99</v>
      </c>
      <c r="AG71" s="37"/>
      <c r="AH71" s="36">
        <v>443.87</v>
      </c>
      <c r="AI71" s="37"/>
      <c r="AK71" s="35">
        <v>66</v>
      </c>
      <c r="AL71" s="36">
        <v>179.06</v>
      </c>
      <c r="AM71" s="37"/>
      <c r="AN71" s="36">
        <v>156.66999999999999</v>
      </c>
      <c r="AO71" s="37"/>
      <c r="AP71" s="63"/>
      <c r="AQ71" s="35">
        <v>66</v>
      </c>
      <c r="AR71" s="36"/>
      <c r="AS71" s="37"/>
      <c r="AT71" s="36"/>
      <c r="AU71" s="37"/>
      <c r="AW71" s="40"/>
      <c r="AX71" s="35"/>
      <c r="AY71" s="36"/>
      <c r="AZ71" s="37"/>
      <c r="BA71" s="36"/>
      <c r="BB71" s="37"/>
    </row>
    <row r="72" spans="1:54" x14ac:dyDescent="0.35">
      <c r="A72" s="35">
        <v>67</v>
      </c>
      <c r="B72" s="36">
        <v>732.82</v>
      </c>
      <c r="C72" s="37"/>
      <c r="D72" s="36">
        <v>666.46</v>
      </c>
      <c r="E72" s="37"/>
      <c r="G72" s="35">
        <v>67</v>
      </c>
      <c r="H72" s="36">
        <v>486.64</v>
      </c>
      <c r="I72" s="37"/>
      <c r="J72" s="36">
        <v>425.31</v>
      </c>
      <c r="K72" s="37"/>
      <c r="L72" s="40"/>
      <c r="M72" s="35">
        <v>67</v>
      </c>
      <c r="N72" s="36">
        <v>177.34</v>
      </c>
      <c r="O72" s="37"/>
      <c r="P72" s="36">
        <v>153.21</v>
      </c>
      <c r="Q72" s="37"/>
      <c r="R72" s="61"/>
      <c r="S72" s="35">
        <v>67</v>
      </c>
      <c r="T72" s="36"/>
      <c r="U72" s="37"/>
      <c r="V72" s="36"/>
      <c r="W72" s="37"/>
      <c r="X72" s="42"/>
      <c r="Y72" s="35">
        <v>67</v>
      </c>
      <c r="Z72" s="36">
        <v>725.19</v>
      </c>
      <c r="AA72" s="37"/>
      <c r="AB72" s="36">
        <v>663.3</v>
      </c>
      <c r="AC72" s="37"/>
      <c r="AE72" s="35">
        <v>67</v>
      </c>
      <c r="AF72" s="36">
        <v>510.31</v>
      </c>
      <c r="AG72" s="37"/>
      <c r="AH72" s="36">
        <v>455.45</v>
      </c>
      <c r="AI72" s="37"/>
      <c r="AK72" s="35">
        <v>67</v>
      </c>
      <c r="AL72" s="36">
        <v>183.84</v>
      </c>
      <c r="AM72" s="37"/>
      <c r="AN72" s="36">
        <v>161.29</v>
      </c>
      <c r="AO72" s="37"/>
      <c r="AP72" s="63"/>
      <c r="AQ72" s="35">
        <v>67</v>
      </c>
      <c r="AR72" s="36"/>
      <c r="AS72" s="37"/>
      <c r="AT72" s="36"/>
      <c r="AU72" s="37"/>
      <c r="AW72" s="40"/>
      <c r="AX72" s="35"/>
      <c r="AY72" s="36"/>
      <c r="AZ72" s="37"/>
      <c r="BA72" s="36"/>
      <c r="BB72" s="37"/>
    </row>
    <row r="73" spans="1:54" x14ac:dyDescent="0.35">
      <c r="A73" s="35">
        <v>68</v>
      </c>
      <c r="B73" s="36">
        <v>745.87</v>
      </c>
      <c r="C73" s="37"/>
      <c r="D73" s="36">
        <v>681.27</v>
      </c>
      <c r="E73" s="37"/>
      <c r="G73" s="35">
        <v>68</v>
      </c>
      <c r="H73" s="36">
        <v>500.56</v>
      </c>
      <c r="I73" s="37"/>
      <c r="J73" s="36">
        <v>439.74</v>
      </c>
      <c r="K73" s="37"/>
      <c r="L73" s="40"/>
      <c r="M73" s="35">
        <v>68</v>
      </c>
      <c r="N73" s="36">
        <v>182.93</v>
      </c>
      <c r="O73" s="37"/>
      <c r="P73" s="36">
        <v>158.69</v>
      </c>
      <c r="Q73" s="37"/>
      <c r="R73" s="61"/>
      <c r="S73" s="35">
        <v>68</v>
      </c>
      <c r="T73" s="36"/>
      <c r="U73" s="37"/>
      <c r="V73" s="36"/>
      <c r="W73" s="37"/>
      <c r="X73" s="42"/>
      <c r="Y73" s="35">
        <v>68</v>
      </c>
      <c r="Z73" s="36">
        <v>737.16</v>
      </c>
      <c r="AA73" s="37"/>
      <c r="AB73" s="36">
        <v>675.98</v>
      </c>
      <c r="AC73" s="37"/>
      <c r="AE73" s="35">
        <v>68</v>
      </c>
      <c r="AF73" s="36">
        <v>521.58000000000004</v>
      </c>
      <c r="AG73" s="37"/>
      <c r="AH73" s="36">
        <v>467.07</v>
      </c>
      <c r="AI73" s="37"/>
      <c r="AK73" s="35">
        <v>68</v>
      </c>
      <c r="AL73" s="36">
        <v>188.68</v>
      </c>
      <c r="AM73" s="37"/>
      <c r="AN73" s="36">
        <v>165.96</v>
      </c>
      <c r="AO73" s="37"/>
      <c r="AP73" s="63"/>
      <c r="AQ73" s="35">
        <v>68</v>
      </c>
      <c r="AR73" s="36"/>
      <c r="AS73" s="37"/>
      <c r="AT73" s="36"/>
      <c r="AU73" s="37"/>
      <c r="AW73" s="40"/>
      <c r="AX73" s="35"/>
      <c r="AY73" s="36"/>
      <c r="AZ73" s="37"/>
      <c r="BA73" s="36"/>
      <c r="BB73" s="37"/>
    </row>
    <row r="74" spans="1:54" x14ac:dyDescent="0.35">
      <c r="A74" s="35">
        <v>69</v>
      </c>
      <c r="B74" s="36">
        <v>758.56</v>
      </c>
      <c r="C74" s="37"/>
      <c r="D74" s="36">
        <v>695.82</v>
      </c>
      <c r="E74" s="37"/>
      <c r="G74" s="35">
        <v>69</v>
      </c>
      <c r="H74" s="36">
        <v>514.38</v>
      </c>
      <c r="I74" s="37"/>
      <c r="J74" s="36">
        <v>454.23</v>
      </c>
      <c r="K74" s="37"/>
      <c r="L74" s="40"/>
      <c r="M74" s="35">
        <v>69</v>
      </c>
      <c r="N74" s="36">
        <v>188.58</v>
      </c>
      <c r="O74" s="37"/>
      <c r="P74" s="36">
        <v>164.26</v>
      </c>
      <c r="Q74" s="37"/>
      <c r="R74" s="61"/>
      <c r="S74" s="35">
        <v>69</v>
      </c>
      <c r="T74" s="36"/>
      <c r="U74" s="37"/>
      <c r="V74" s="36"/>
      <c r="W74" s="37"/>
      <c r="X74" s="42"/>
      <c r="Y74" s="35">
        <v>69</v>
      </c>
      <c r="Z74" s="36">
        <v>748.35</v>
      </c>
      <c r="AA74" s="37"/>
      <c r="AB74" s="36">
        <v>687.06</v>
      </c>
      <c r="AC74" s="37"/>
      <c r="AE74" s="35">
        <v>69</v>
      </c>
      <c r="AF74" s="36">
        <v>532.36</v>
      </c>
      <c r="AG74" s="37"/>
      <c r="AH74" s="36">
        <v>477.64</v>
      </c>
      <c r="AI74" s="37"/>
      <c r="AK74" s="35">
        <v>69</v>
      </c>
      <c r="AL74" s="36">
        <v>193.45</v>
      </c>
      <c r="AM74" s="37"/>
      <c r="AN74" s="36">
        <v>170.33</v>
      </c>
      <c r="AO74" s="37"/>
      <c r="AP74" s="63"/>
      <c r="AQ74" s="35">
        <v>69</v>
      </c>
      <c r="AR74" s="36"/>
      <c r="AS74" s="37"/>
      <c r="AT74" s="36"/>
      <c r="AU74" s="37"/>
      <c r="AW74" s="40"/>
      <c r="AX74" s="35"/>
      <c r="AY74" s="36"/>
      <c r="AZ74" s="37"/>
      <c r="BA74" s="36"/>
      <c r="BB74" s="37"/>
    </row>
    <row r="75" spans="1:54" x14ac:dyDescent="0.35">
      <c r="A75" s="35">
        <v>70</v>
      </c>
      <c r="B75" s="36">
        <v>770.9</v>
      </c>
      <c r="C75" s="37"/>
      <c r="D75" s="36">
        <v>710.15</v>
      </c>
      <c r="E75" s="37"/>
      <c r="G75" s="35">
        <v>70</v>
      </c>
      <c r="H75" s="36">
        <v>528.15</v>
      </c>
      <c r="I75" s="37"/>
      <c r="J75" s="36">
        <v>468.78</v>
      </c>
      <c r="K75" s="37"/>
      <c r="L75" s="40"/>
      <c r="M75" s="35">
        <v>70</v>
      </c>
      <c r="N75" s="36">
        <v>194.34</v>
      </c>
      <c r="O75" s="37"/>
      <c r="P75" s="36">
        <v>169.93</v>
      </c>
      <c r="Q75" s="37"/>
      <c r="R75" s="61"/>
      <c r="S75" s="35">
        <v>70</v>
      </c>
      <c r="T75" s="36"/>
      <c r="U75" s="37"/>
      <c r="V75" s="36"/>
      <c r="W75" s="37"/>
      <c r="X75" s="42"/>
      <c r="Y75" s="35">
        <v>70</v>
      </c>
      <c r="Z75" s="36">
        <v>760.42</v>
      </c>
      <c r="AA75" s="37"/>
      <c r="AB75" s="36">
        <v>700.22</v>
      </c>
      <c r="AC75" s="37"/>
      <c r="AE75" s="35">
        <v>70</v>
      </c>
      <c r="AF75" s="36">
        <v>543.91</v>
      </c>
      <c r="AG75" s="37"/>
      <c r="AH75" s="36">
        <v>489.65</v>
      </c>
      <c r="AI75" s="37"/>
      <c r="AK75" s="35">
        <v>70</v>
      </c>
      <c r="AL75" s="36">
        <v>198.61</v>
      </c>
      <c r="AM75" s="37"/>
      <c r="AN75" s="36">
        <v>175.4</v>
      </c>
      <c r="AO75" s="37"/>
      <c r="AP75" s="63"/>
      <c r="AQ75" s="35">
        <v>70</v>
      </c>
      <c r="AR75" s="36"/>
      <c r="AS75" s="37"/>
      <c r="AT75" s="36"/>
      <c r="AU75" s="37"/>
      <c r="AW75" s="40"/>
      <c r="AX75" s="35"/>
      <c r="AY75" s="36"/>
      <c r="AZ75" s="37"/>
      <c r="BA75" s="36"/>
      <c r="BB75" s="37"/>
    </row>
    <row r="76" spans="1:54" x14ac:dyDescent="0.35">
      <c r="A76" s="35"/>
      <c r="B76" s="43"/>
      <c r="C76" s="37"/>
      <c r="D76" s="43"/>
      <c r="E76" s="37"/>
      <c r="G76" s="35"/>
      <c r="H76" s="43"/>
      <c r="I76" s="37"/>
      <c r="J76" s="43"/>
      <c r="K76" s="37"/>
      <c r="L76" s="40"/>
      <c r="M76" s="35"/>
      <c r="N76" s="43"/>
      <c r="O76" s="43"/>
      <c r="P76" s="43"/>
      <c r="Q76" s="44"/>
      <c r="S76" s="35"/>
      <c r="T76" s="43"/>
      <c r="U76" s="43"/>
      <c r="V76" s="36"/>
      <c r="W76" s="44"/>
      <c r="Y76" s="35"/>
      <c r="Z76" s="43"/>
      <c r="AA76" s="43"/>
      <c r="AB76" s="43"/>
      <c r="AC76" s="44"/>
      <c r="AE76" s="35"/>
      <c r="AF76" s="43"/>
      <c r="AG76" s="36"/>
      <c r="AH76" s="43"/>
      <c r="AI76" s="44"/>
      <c r="AK76" s="35"/>
      <c r="AL76" s="43"/>
      <c r="AM76" s="43"/>
      <c r="AN76" s="43"/>
      <c r="AO76" s="44"/>
      <c r="AP76" s="64"/>
      <c r="AQ76" s="35"/>
      <c r="AR76" s="43"/>
      <c r="AS76" s="45"/>
      <c r="AT76" s="43"/>
      <c r="AU76" s="45"/>
      <c r="AW76" s="40"/>
      <c r="AX76" s="35"/>
      <c r="AY76" s="43"/>
      <c r="AZ76" s="43"/>
      <c r="BA76" s="43"/>
      <c r="BB76" s="44"/>
    </row>
    <row r="77" spans="1:54" x14ac:dyDescent="0.35">
      <c r="A77" s="35"/>
      <c r="B77" s="43"/>
      <c r="C77" s="37"/>
      <c r="D77" s="43"/>
      <c r="E77" s="37"/>
      <c r="G77" s="35"/>
      <c r="H77" s="43"/>
      <c r="I77" s="37"/>
      <c r="J77" s="43"/>
      <c r="K77" s="37"/>
      <c r="L77" s="40"/>
      <c r="M77" s="35"/>
      <c r="N77" s="43"/>
      <c r="O77" s="43"/>
      <c r="P77" s="43"/>
      <c r="Q77" s="44"/>
      <c r="S77" s="35"/>
      <c r="T77" s="43"/>
      <c r="U77" s="43"/>
      <c r="V77" s="43"/>
      <c r="W77" s="44"/>
      <c r="Y77" s="35"/>
      <c r="Z77" s="43"/>
      <c r="AA77" s="43"/>
      <c r="AB77" s="43"/>
      <c r="AC77" s="44"/>
      <c r="AE77" s="35"/>
      <c r="AF77" s="43"/>
      <c r="AG77" s="36"/>
      <c r="AH77" s="43"/>
      <c r="AI77" s="44"/>
      <c r="AK77" s="35"/>
      <c r="AL77" s="43"/>
      <c r="AM77" s="43"/>
      <c r="AN77" s="43"/>
      <c r="AO77" s="44"/>
      <c r="AP77" s="64"/>
      <c r="AQ77" s="35"/>
      <c r="AR77" s="43"/>
      <c r="AS77" s="45"/>
      <c r="AT77" s="43"/>
      <c r="AU77" s="45"/>
      <c r="AW77" s="40"/>
      <c r="AX77" s="35"/>
      <c r="AY77" s="43"/>
      <c r="AZ77" s="43"/>
      <c r="BA77" s="43"/>
      <c r="BB77" s="44"/>
    </row>
    <row r="78" spans="1:54" x14ac:dyDescent="0.35">
      <c r="A78" s="35"/>
      <c r="B78" s="43"/>
      <c r="C78" s="37"/>
      <c r="D78" s="43"/>
      <c r="E78" s="37"/>
      <c r="G78" s="35"/>
      <c r="H78" s="43"/>
      <c r="I78" s="37"/>
      <c r="J78" s="43"/>
      <c r="K78" s="37"/>
      <c r="L78" s="40"/>
      <c r="M78" s="35"/>
      <c r="N78" s="43"/>
      <c r="O78" s="43"/>
      <c r="P78" s="43"/>
      <c r="Q78" s="44"/>
      <c r="S78" s="35"/>
      <c r="T78" s="43"/>
      <c r="U78" s="43"/>
      <c r="V78" s="43"/>
      <c r="W78" s="44"/>
      <c r="Y78" s="35"/>
      <c r="Z78" s="43"/>
      <c r="AA78" s="43"/>
      <c r="AB78" s="43"/>
      <c r="AC78" s="44"/>
      <c r="AE78" s="35"/>
      <c r="AF78" s="43"/>
      <c r="AG78" s="36"/>
      <c r="AH78" s="43"/>
      <c r="AI78" s="44"/>
      <c r="AK78" s="35"/>
      <c r="AL78" s="43"/>
      <c r="AM78" s="43"/>
      <c r="AN78" s="43"/>
      <c r="AO78" s="44"/>
      <c r="AP78" s="64"/>
      <c r="AQ78" s="35"/>
      <c r="AR78" s="43"/>
      <c r="AS78" s="45"/>
      <c r="AT78" s="43"/>
      <c r="AU78" s="45"/>
      <c r="AW78" s="40"/>
      <c r="AX78" s="35"/>
      <c r="AY78" s="43"/>
      <c r="AZ78" s="43"/>
      <c r="BA78" s="43"/>
      <c r="BB78" s="44"/>
    </row>
    <row r="79" spans="1:54" x14ac:dyDescent="0.35">
      <c r="A79" s="35"/>
      <c r="B79" s="43"/>
      <c r="C79" s="37"/>
      <c r="D79" s="43"/>
      <c r="E79" s="37"/>
      <c r="G79" s="35"/>
      <c r="H79" s="43"/>
      <c r="I79" s="37"/>
      <c r="J79" s="43"/>
      <c r="K79" s="37"/>
      <c r="L79" s="40"/>
      <c r="M79" s="35"/>
      <c r="N79" s="43"/>
      <c r="O79" s="43"/>
      <c r="P79" s="43"/>
      <c r="Q79" s="44"/>
      <c r="S79" s="35"/>
      <c r="T79" s="43"/>
      <c r="U79" s="43"/>
      <c r="V79" s="43"/>
      <c r="W79" s="44"/>
      <c r="Y79" s="35"/>
      <c r="Z79" s="43"/>
      <c r="AA79" s="43"/>
      <c r="AB79" s="43"/>
      <c r="AC79" s="44"/>
      <c r="AE79" s="35"/>
      <c r="AF79" s="43"/>
      <c r="AG79" s="36"/>
      <c r="AH79" s="43"/>
      <c r="AI79" s="44"/>
      <c r="AK79" s="35"/>
      <c r="AL79" s="43"/>
      <c r="AM79" s="43"/>
      <c r="AN79" s="43"/>
      <c r="AO79" s="44"/>
      <c r="AP79" s="64"/>
      <c r="AQ79" s="35"/>
      <c r="AR79" s="43"/>
      <c r="AS79" s="45"/>
      <c r="AT79" s="43"/>
      <c r="AU79" s="45"/>
      <c r="AW79" s="40"/>
      <c r="AX79" s="35"/>
      <c r="AY79" s="43"/>
      <c r="AZ79" s="43"/>
      <c r="BA79" s="43"/>
      <c r="BB79" s="44"/>
    </row>
    <row r="80" spans="1:54" x14ac:dyDescent="0.35">
      <c r="A80" s="35"/>
      <c r="B80" s="43"/>
      <c r="C80" s="37"/>
      <c r="D80" s="43"/>
      <c r="E80" s="37"/>
      <c r="G80" s="35"/>
      <c r="H80" s="43"/>
      <c r="I80" s="37"/>
      <c r="J80" s="43"/>
      <c r="K80" s="37"/>
      <c r="L80" s="40"/>
      <c r="M80" s="35"/>
      <c r="N80" s="43"/>
      <c r="O80" s="43"/>
      <c r="P80" s="43"/>
      <c r="Q80" s="44"/>
      <c r="S80" s="35"/>
      <c r="T80" s="43"/>
      <c r="U80" s="43"/>
      <c r="V80" s="43"/>
      <c r="W80" s="44"/>
      <c r="Y80" s="35"/>
      <c r="Z80" s="43"/>
      <c r="AA80" s="43"/>
      <c r="AB80" s="43"/>
      <c r="AC80" s="44"/>
      <c r="AE80" s="35"/>
      <c r="AF80" s="43"/>
      <c r="AG80" s="36"/>
      <c r="AH80" s="43"/>
      <c r="AI80" s="44"/>
      <c r="AK80" s="35"/>
      <c r="AL80" s="43"/>
      <c r="AM80" s="43"/>
      <c r="AN80" s="43"/>
      <c r="AO80" s="44"/>
      <c r="AP80" s="64"/>
      <c r="AQ80" s="35"/>
      <c r="AR80" s="43"/>
      <c r="AS80" s="45"/>
      <c r="AT80" s="43"/>
      <c r="AU80" s="45"/>
      <c r="AW80" s="40"/>
      <c r="AX80" s="35"/>
      <c r="AY80" s="43"/>
      <c r="AZ80" s="43"/>
      <c r="BA80" s="43"/>
      <c r="BB80" s="44"/>
    </row>
    <row r="81" spans="1:54" x14ac:dyDescent="0.35">
      <c r="A81" s="35"/>
      <c r="B81" s="43"/>
      <c r="C81" s="37"/>
      <c r="D81" s="43"/>
      <c r="E81" s="37"/>
      <c r="G81" s="35"/>
      <c r="H81" s="43"/>
      <c r="I81" s="37"/>
      <c r="J81" s="43"/>
      <c r="K81" s="37"/>
      <c r="L81" s="40"/>
      <c r="M81" s="35"/>
      <c r="N81" s="43"/>
      <c r="O81" s="43"/>
      <c r="P81" s="43"/>
      <c r="Q81" s="44"/>
      <c r="S81" s="35"/>
      <c r="T81" s="43"/>
      <c r="U81" s="43"/>
      <c r="V81" s="43"/>
      <c r="W81" s="44"/>
      <c r="Y81" s="35"/>
      <c r="Z81" s="43"/>
      <c r="AA81" s="43"/>
      <c r="AB81" s="43"/>
      <c r="AC81" s="44"/>
      <c r="AE81" s="35"/>
      <c r="AF81" s="43"/>
      <c r="AG81" s="36"/>
      <c r="AH81" s="43"/>
      <c r="AI81" s="44"/>
      <c r="AK81" s="35"/>
      <c r="AL81" s="43"/>
      <c r="AM81" s="43"/>
      <c r="AN81" s="43"/>
      <c r="AO81" s="44"/>
      <c r="AP81" s="64"/>
      <c r="AQ81" s="35"/>
      <c r="AR81" s="43"/>
      <c r="AS81" s="45"/>
      <c r="AT81" s="43"/>
      <c r="AU81" s="45"/>
      <c r="AW81" s="40"/>
      <c r="AX81" s="35"/>
      <c r="AY81" s="43"/>
      <c r="AZ81" s="43"/>
      <c r="BA81" s="43"/>
      <c r="BB81" s="44"/>
    </row>
    <row r="82" spans="1:54" x14ac:dyDescent="0.35">
      <c r="A82" s="35"/>
      <c r="B82" s="43"/>
      <c r="C82" s="37"/>
      <c r="D82" s="43"/>
      <c r="E82" s="37"/>
      <c r="G82" s="35"/>
      <c r="H82" s="43"/>
      <c r="I82" s="37"/>
      <c r="J82" s="43"/>
      <c r="K82" s="37"/>
      <c r="L82" s="40"/>
      <c r="M82" s="35"/>
      <c r="N82" s="43"/>
      <c r="O82" s="43"/>
      <c r="P82" s="43"/>
      <c r="Q82" s="44"/>
      <c r="S82" s="35"/>
      <c r="T82" s="43"/>
      <c r="U82" s="43"/>
      <c r="V82" s="43"/>
      <c r="W82" s="44"/>
      <c r="Y82" s="35"/>
      <c r="Z82" s="43"/>
      <c r="AA82" s="43"/>
      <c r="AB82" s="43"/>
      <c r="AC82" s="44"/>
      <c r="AE82" s="35"/>
      <c r="AF82" s="43"/>
      <c r="AG82" s="36"/>
      <c r="AH82" s="43"/>
      <c r="AI82" s="44"/>
      <c r="AK82" s="35"/>
      <c r="AL82" s="43"/>
      <c r="AM82" s="43"/>
      <c r="AN82" s="43"/>
      <c r="AO82" s="44"/>
      <c r="AP82" s="64"/>
      <c r="AQ82" s="35"/>
      <c r="AR82" s="43"/>
      <c r="AS82" s="45"/>
      <c r="AT82" s="43"/>
      <c r="AU82" s="45"/>
      <c r="AW82" s="40"/>
      <c r="AX82" s="35"/>
      <c r="AY82" s="43"/>
      <c r="AZ82" s="43"/>
      <c r="BA82" s="43"/>
      <c r="BB82" s="44"/>
    </row>
    <row r="83" spans="1:54" x14ac:dyDescent="0.35">
      <c r="A83" s="35"/>
      <c r="B83" s="43"/>
      <c r="C83" s="37"/>
      <c r="D83" s="43"/>
      <c r="E83" s="37"/>
      <c r="G83" s="35"/>
      <c r="H83" s="43"/>
      <c r="I83" s="37"/>
      <c r="J83" s="43"/>
      <c r="K83" s="37"/>
      <c r="L83" s="40"/>
      <c r="M83" s="35"/>
      <c r="N83" s="43"/>
      <c r="O83" s="43"/>
      <c r="P83" s="43"/>
      <c r="Q83" s="44"/>
      <c r="S83" s="35"/>
      <c r="T83" s="43"/>
      <c r="U83" s="43"/>
      <c r="V83" s="43"/>
      <c r="W83" s="44"/>
      <c r="Y83" s="35"/>
      <c r="Z83" s="43"/>
      <c r="AA83" s="43"/>
      <c r="AB83" s="43"/>
      <c r="AC83" s="44"/>
      <c r="AE83" s="35"/>
      <c r="AF83" s="43"/>
      <c r="AG83" s="43"/>
      <c r="AH83" s="43"/>
      <c r="AI83" s="44"/>
      <c r="AK83" s="35"/>
      <c r="AL83" s="43"/>
      <c r="AM83" s="43"/>
      <c r="AN83" s="43"/>
      <c r="AO83" s="44"/>
      <c r="AP83" s="64"/>
      <c r="AQ83" s="35"/>
      <c r="AR83" s="43"/>
      <c r="AS83" s="45"/>
      <c r="AT83" s="43"/>
      <c r="AU83" s="45"/>
      <c r="AW83" s="40"/>
      <c r="AX83" s="35"/>
      <c r="AY83" s="43"/>
      <c r="AZ83" s="43"/>
      <c r="BA83" s="43"/>
      <c r="BB83" s="44"/>
    </row>
    <row r="84" spans="1:54" x14ac:dyDescent="0.35">
      <c r="A84" s="35"/>
      <c r="B84" s="43"/>
      <c r="C84" s="37"/>
      <c r="D84" s="43"/>
      <c r="E84" s="37"/>
      <c r="G84" s="35"/>
      <c r="H84" s="43"/>
      <c r="I84" s="37"/>
      <c r="J84" s="43"/>
      <c r="K84" s="37"/>
      <c r="L84" s="40"/>
      <c r="M84" s="35"/>
      <c r="N84" s="43"/>
      <c r="O84" s="43"/>
      <c r="P84" s="43"/>
      <c r="Q84" s="44"/>
      <c r="S84" s="35"/>
      <c r="T84" s="43"/>
      <c r="U84" s="43"/>
      <c r="V84" s="43"/>
      <c r="W84" s="44"/>
      <c r="Y84" s="35"/>
      <c r="Z84" s="43"/>
      <c r="AA84" s="43"/>
      <c r="AB84" s="43"/>
      <c r="AC84" s="44"/>
      <c r="AE84" s="35"/>
      <c r="AF84" s="43"/>
      <c r="AG84" s="43"/>
      <c r="AH84" s="43"/>
      <c r="AI84" s="44"/>
      <c r="AK84" s="35"/>
      <c r="AL84" s="43"/>
      <c r="AM84" s="43"/>
      <c r="AN84" s="43"/>
      <c r="AO84" s="44"/>
      <c r="AP84" s="64"/>
      <c r="AQ84" s="35"/>
      <c r="AR84" s="43"/>
      <c r="AS84" s="45"/>
      <c r="AT84" s="43"/>
      <c r="AU84" s="45"/>
      <c r="AW84" s="40"/>
      <c r="AX84" s="35"/>
      <c r="AY84" s="43"/>
      <c r="AZ84" s="43"/>
      <c r="BA84" s="43"/>
      <c r="BB84" s="44"/>
    </row>
    <row r="85" spans="1:54" x14ac:dyDescent="0.35">
      <c r="A85" s="35"/>
      <c r="B85" s="43"/>
      <c r="C85" s="37"/>
      <c r="D85" s="43"/>
      <c r="E85" s="37"/>
      <c r="G85" s="35"/>
      <c r="H85" s="43"/>
      <c r="I85" s="37"/>
      <c r="J85" s="43"/>
      <c r="K85" s="37"/>
      <c r="L85" s="40"/>
      <c r="M85" s="35"/>
      <c r="N85" s="43"/>
      <c r="O85" s="43"/>
      <c r="P85" s="43"/>
      <c r="Q85" s="44"/>
      <c r="S85" s="35"/>
      <c r="T85" s="43"/>
      <c r="U85" s="43"/>
      <c r="V85" s="43"/>
      <c r="W85" s="44"/>
      <c r="Y85" s="35"/>
      <c r="Z85" s="43"/>
      <c r="AA85" s="43"/>
      <c r="AB85" s="43"/>
      <c r="AC85" s="44"/>
      <c r="AE85" s="35"/>
      <c r="AF85" s="43"/>
      <c r="AG85" s="43"/>
      <c r="AH85" s="43"/>
      <c r="AI85" s="44"/>
      <c r="AK85" s="35"/>
      <c r="AL85" s="43"/>
      <c r="AM85" s="43"/>
      <c r="AN85" s="43"/>
      <c r="AO85" s="44"/>
      <c r="AP85" s="64"/>
      <c r="AQ85" s="35"/>
      <c r="AR85" s="43"/>
      <c r="AS85" s="45"/>
      <c r="AT85" s="43"/>
      <c r="AU85" s="45"/>
      <c r="AW85" s="40"/>
      <c r="AX85" s="35"/>
      <c r="AY85" s="43"/>
      <c r="AZ85" s="43"/>
      <c r="BA85" s="43"/>
      <c r="BB85" s="44"/>
    </row>
    <row r="86" spans="1:54" x14ac:dyDescent="0.35">
      <c r="A86" s="35"/>
      <c r="B86" s="43"/>
      <c r="C86" s="37"/>
      <c r="D86" s="43"/>
      <c r="E86" s="37"/>
      <c r="G86" s="35"/>
      <c r="H86" s="43"/>
      <c r="I86" s="37"/>
      <c r="J86" s="43"/>
      <c r="K86" s="37"/>
      <c r="L86" s="40"/>
      <c r="M86" s="35"/>
      <c r="N86" s="43"/>
      <c r="O86" s="43"/>
      <c r="P86" s="43"/>
      <c r="Q86" s="44"/>
      <c r="S86" s="35"/>
      <c r="T86" s="43"/>
      <c r="U86" s="43"/>
      <c r="V86" s="43"/>
      <c r="W86" s="44"/>
      <c r="Y86" s="35"/>
      <c r="Z86" s="43"/>
      <c r="AA86" s="43"/>
      <c r="AB86" s="43"/>
      <c r="AC86" s="44"/>
      <c r="AE86" s="35"/>
      <c r="AF86" s="43"/>
      <c r="AG86" s="43"/>
      <c r="AH86" s="43"/>
      <c r="AI86" s="44"/>
      <c r="AK86" s="35"/>
      <c r="AL86" s="43"/>
      <c r="AM86" s="43"/>
      <c r="AN86" s="43"/>
      <c r="AO86" s="44"/>
      <c r="AP86" s="64"/>
      <c r="AQ86" s="35"/>
      <c r="AR86" s="43"/>
      <c r="AS86" s="45"/>
      <c r="AT86" s="43"/>
      <c r="AU86" s="45"/>
      <c r="AW86" s="40"/>
      <c r="AX86" s="35"/>
      <c r="AY86" s="43"/>
      <c r="AZ86" s="43"/>
      <c r="BA86" s="43"/>
      <c r="BB86" s="44"/>
    </row>
    <row r="87" spans="1:54" x14ac:dyDescent="0.35">
      <c r="A87" s="35"/>
      <c r="B87" s="43"/>
      <c r="C87" s="37"/>
      <c r="D87" s="43"/>
      <c r="E87" s="37"/>
      <c r="G87" s="35"/>
      <c r="H87" s="43"/>
      <c r="I87" s="37"/>
      <c r="J87" s="43"/>
      <c r="K87" s="37"/>
      <c r="L87" s="40"/>
      <c r="M87" s="35"/>
      <c r="N87" s="43"/>
      <c r="O87" s="43"/>
      <c r="P87" s="43"/>
      <c r="Q87" s="44"/>
      <c r="S87" s="35"/>
      <c r="T87" s="43"/>
      <c r="U87" s="43"/>
      <c r="V87" s="43"/>
      <c r="W87" s="44"/>
      <c r="Y87" s="35"/>
      <c r="Z87" s="43"/>
      <c r="AA87" s="43"/>
      <c r="AB87" s="43"/>
      <c r="AC87" s="44"/>
      <c r="AE87" s="35"/>
      <c r="AF87" s="43"/>
      <c r="AG87" s="43"/>
      <c r="AH87" s="43"/>
      <c r="AI87" s="44"/>
      <c r="AK87" s="35"/>
      <c r="AL87" s="43"/>
      <c r="AM87" s="43"/>
      <c r="AN87" s="43"/>
      <c r="AO87" s="44"/>
      <c r="AP87" s="64"/>
      <c r="AQ87" s="35"/>
      <c r="AR87" s="43"/>
      <c r="AS87" s="45"/>
      <c r="AT87" s="43"/>
      <c r="AU87" s="45"/>
      <c r="AW87" s="40"/>
      <c r="AX87" s="35"/>
      <c r="AY87" s="43"/>
      <c r="AZ87" s="43"/>
      <c r="BA87" s="43"/>
      <c r="BB87" s="44"/>
    </row>
    <row r="88" spans="1:54" x14ac:dyDescent="0.35">
      <c r="A88" s="35"/>
      <c r="B88" s="43"/>
      <c r="C88" s="37"/>
      <c r="D88" s="43"/>
      <c r="E88" s="37"/>
      <c r="G88" s="35"/>
      <c r="H88" s="43"/>
      <c r="I88" s="37"/>
      <c r="J88" s="43"/>
      <c r="K88" s="37"/>
      <c r="L88" s="40"/>
      <c r="M88" s="35"/>
      <c r="N88" s="43"/>
      <c r="O88" s="43"/>
      <c r="P88" s="43"/>
      <c r="Q88" s="44"/>
      <c r="S88" s="35"/>
      <c r="T88" s="43"/>
      <c r="U88" s="43"/>
      <c r="V88" s="43"/>
      <c r="W88" s="44"/>
      <c r="Y88" s="35"/>
      <c r="Z88" s="43"/>
      <c r="AA88" s="43"/>
      <c r="AB88" s="43"/>
      <c r="AC88" s="44"/>
      <c r="AE88" s="35"/>
      <c r="AF88" s="43"/>
      <c r="AG88" s="43"/>
      <c r="AH88" s="43"/>
      <c r="AI88" s="44"/>
      <c r="AK88" s="35"/>
      <c r="AL88" s="43"/>
      <c r="AM88" s="43"/>
      <c r="AN88" s="43"/>
      <c r="AO88" s="44"/>
      <c r="AP88" s="64"/>
      <c r="AQ88" s="35"/>
      <c r="AR88" s="43"/>
      <c r="AS88" s="45"/>
      <c r="AT88" s="43"/>
      <c r="AU88" s="45"/>
      <c r="AW88" s="40"/>
      <c r="AX88" s="35"/>
      <c r="AY88" s="43"/>
      <c r="AZ88" s="43"/>
      <c r="BA88" s="43"/>
      <c r="BB88" s="44"/>
    </row>
    <row r="89" spans="1:54" x14ac:dyDescent="0.35">
      <c r="A89" s="35"/>
      <c r="B89" s="43"/>
      <c r="C89" s="37"/>
      <c r="D89" s="43"/>
      <c r="E89" s="37"/>
      <c r="G89" s="35"/>
      <c r="H89" s="43"/>
      <c r="I89" s="37"/>
      <c r="J89" s="43"/>
      <c r="K89" s="37"/>
      <c r="L89" s="40"/>
      <c r="M89" s="35"/>
      <c r="N89" s="43"/>
      <c r="O89" s="43"/>
      <c r="P89" s="43"/>
      <c r="Q89" s="44"/>
      <c r="S89" s="35"/>
      <c r="T89" s="43"/>
      <c r="U89" s="43"/>
      <c r="V89" s="43"/>
      <c r="W89" s="44"/>
      <c r="Y89" s="35"/>
      <c r="Z89" s="43"/>
      <c r="AA89" s="43"/>
      <c r="AB89" s="43"/>
      <c r="AC89" s="44"/>
      <c r="AE89" s="35"/>
      <c r="AF89" s="43"/>
      <c r="AG89" s="43"/>
      <c r="AH89" s="43"/>
      <c r="AI89" s="44"/>
      <c r="AK89" s="35"/>
      <c r="AL89" s="43"/>
      <c r="AM89" s="43"/>
      <c r="AN89" s="43"/>
      <c r="AO89" s="44"/>
      <c r="AP89" s="64"/>
      <c r="AQ89" s="35"/>
      <c r="AR89" s="43"/>
      <c r="AS89" s="45"/>
      <c r="AT89" s="43"/>
      <c r="AU89" s="45"/>
      <c r="AW89" s="40"/>
      <c r="AX89" s="35"/>
      <c r="AY89" s="43"/>
      <c r="AZ89" s="43"/>
      <c r="BA89" s="43"/>
      <c r="BB89" s="44"/>
    </row>
    <row r="90" spans="1:54" x14ac:dyDescent="0.35">
      <c r="A90" s="35"/>
      <c r="B90" s="43"/>
      <c r="C90" s="37"/>
      <c r="D90" s="43"/>
      <c r="E90" s="37"/>
      <c r="G90" s="35"/>
      <c r="H90" s="43"/>
      <c r="I90" s="37"/>
      <c r="J90" s="43"/>
      <c r="K90" s="37"/>
      <c r="L90" s="40"/>
      <c r="M90" s="35"/>
      <c r="N90" s="43"/>
      <c r="O90" s="43"/>
      <c r="P90" s="43"/>
      <c r="Q90" s="44"/>
      <c r="S90" s="35"/>
      <c r="T90" s="43"/>
      <c r="U90" s="43"/>
      <c r="V90" s="43"/>
      <c r="W90" s="44"/>
      <c r="Y90" s="35"/>
      <c r="Z90" s="43"/>
      <c r="AA90" s="43"/>
      <c r="AB90" s="43"/>
      <c r="AC90" s="44"/>
      <c r="AE90" s="35"/>
      <c r="AF90" s="43"/>
      <c r="AG90" s="43"/>
      <c r="AH90" s="43"/>
      <c r="AI90" s="44"/>
      <c r="AK90" s="35"/>
      <c r="AL90" s="43"/>
      <c r="AM90" s="43"/>
      <c r="AN90" s="43"/>
      <c r="AO90" s="44"/>
      <c r="AP90" s="64"/>
      <c r="AQ90" s="35"/>
      <c r="AR90" s="43"/>
      <c r="AS90" s="45"/>
      <c r="AT90" s="43"/>
      <c r="AU90" s="45"/>
      <c r="AW90" s="40"/>
      <c r="AX90" s="35"/>
      <c r="AY90" s="43"/>
      <c r="AZ90" s="43"/>
      <c r="BA90" s="43"/>
      <c r="BB90" s="44"/>
    </row>
    <row r="91" spans="1:54" x14ac:dyDescent="0.35">
      <c r="A91" s="35"/>
      <c r="B91" s="43"/>
      <c r="C91" s="37"/>
      <c r="D91" s="43"/>
      <c r="E91" s="37"/>
      <c r="G91" s="35"/>
      <c r="H91" s="43"/>
      <c r="I91" s="37"/>
      <c r="J91" s="43"/>
      <c r="K91" s="37"/>
      <c r="L91" s="40"/>
      <c r="M91" s="35"/>
      <c r="N91" s="43"/>
      <c r="O91" s="43"/>
      <c r="P91" s="43"/>
      <c r="Q91" s="44"/>
      <c r="S91" s="35"/>
      <c r="T91" s="43"/>
      <c r="U91" s="43"/>
      <c r="V91" s="43"/>
      <c r="W91" s="44"/>
      <c r="Y91" s="35"/>
      <c r="Z91" s="43"/>
      <c r="AA91" s="43"/>
      <c r="AB91" s="43"/>
      <c r="AC91" s="44"/>
      <c r="AE91" s="35"/>
      <c r="AF91" s="43"/>
      <c r="AG91" s="43"/>
      <c r="AH91" s="43"/>
      <c r="AI91" s="44"/>
      <c r="AK91" s="35"/>
      <c r="AL91" s="43"/>
      <c r="AM91" s="43"/>
      <c r="AN91" s="43"/>
      <c r="AO91" s="44"/>
      <c r="AP91" s="64"/>
      <c r="AQ91" s="35"/>
      <c r="AR91" s="43"/>
      <c r="AS91" s="45"/>
      <c r="AT91" s="43"/>
      <c r="AU91" s="45"/>
      <c r="AW91" s="40"/>
      <c r="AX91" s="35"/>
      <c r="AY91" s="43"/>
      <c r="AZ91" s="43"/>
      <c r="BA91" s="43"/>
      <c r="BB91" s="44"/>
    </row>
    <row r="92" spans="1:54" x14ac:dyDescent="0.35">
      <c r="A92" s="35"/>
      <c r="B92" s="43"/>
      <c r="C92" s="37"/>
      <c r="D92" s="43"/>
      <c r="E92" s="37"/>
      <c r="G92" s="35"/>
      <c r="H92" s="43"/>
      <c r="I92" s="37"/>
      <c r="J92" s="43"/>
      <c r="K92" s="37"/>
      <c r="L92" s="40"/>
      <c r="M92" s="35"/>
      <c r="N92" s="43"/>
      <c r="O92" s="43"/>
      <c r="P92" s="43"/>
      <c r="Q92" s="44"/>
      <c r="S92" s="35"/>
      <c r="T92" s="43"/>
      <c r="U92" s="43"/>
      <c r="V92" s="43"/>
      <c r="W92" s="44"/>
      <c r="Y92" s="35"/>
      <c r="Z92" s="43"/>
      <c r="AA92" s="43"/>
      <c r="AB92" s="43"/>
      <c r="AC92" s="44"/>
      <c r="AE92" s="35"/>
      <c r="AF92" s="43"/>
      <c r="AG92" s="43"/>
      <c r="AH92" s="43"/>
      <c r="AI92" s="44"/>
      <c r="AK92" s="35"/>
      <c r="AL92" s="43"/>
      <c r="AM92" s="43"/>
      <c r="AN92" s="43"/>
      <c r="AO92" s="44"/>
      <c r="AP92" s="64"/>
      <c r="AQ92" s="35"/>
      <c r="AR92" s="43"/>
      <c r="AS92" s="45"/>
      <c r="AT92" s="43"/>
      <c r="AU92" s="45"/>
      <c r="AW92" s="40"/>
      <c r="AX92" s="35"/>
      <c r="AY92" s="43"/>
      <c r="AZ92" s="43"/>
      <c r="BA92" s="43"/>
      <c r="BB92" s="44"/>
    </row>
    <row r="93" spans="1:54" x14ac:dyDescent="0.35">
      <c r="A93" s="35"/>
      <c r="B93" s="43"/>
      <c r="C93" s="37"/>
      <c r="D93" s="43"/>
      <c r="E93" s="37"/>
      <c r="G93" s="35"/>
      <c r="H93" s="43"/>
      <c r="I93" s="37"/>
      <c r="J93" s="43"/>
      <c r="K93" s="37"/>
      <c r="L93" s="40"/>
      <c r="M93" s="35"/>
      <c r="N93" s="43"/>
      <c r="O93" s="43"/>
      <c r="P93" s="43"/>
      <c r="Q93" s="44"/>
      <c r="S93" s="35"/>
      <c r="T93" s="43"/>
      <c r="U93" s="43"/>
      <c r="V93" s="43"/>
      <c r="W93" s="44"/>
      <c r="Y93" s="35"/>
      <c r="Z93" s="43"/>
      <c r="AA93" s="43"/>
      <c r="AB93" s="43"/>
      <c r="AC93" s="44"/>
      <c r="AE93" s="35"/>
      <c r="AF93" s="43"/>
      <c r="AG93" s="43"/>
      <c r="AH93" s="43"/>
      <c r="AI93" s="44"/>
      <c r="AK93" s="35"/>
      <c r="AL93" s="43"/>
      <c r="AM93" s="43"/>
      <c r="AN93" s="43"/>
      <c r="AO93" s="44"/>
      <c r="AP93" s="64"/>
      <c r="AQ93" s="35"/>
      <c r="AR93" s="43"/>
      <c r="AS93" s="45"/>
      <c r="AT93" s="43"/>
      <c r="AU93" s="45"/>
      <c r="AW93" s="40"/>
      <c r="AX93" s="35"/>
      <c r="AY93" s="43"/>
      <c r="AZ93" s="43"/>
      <c r="BA93" s="43"/>
      <c r="BB93" s="44"/>
    </row>
    <row r="94" spans="1:54" x14ac:dyDescent="0.35">
      <c r="A94" s="35"/>
      <c r="B94" s="43"/>
      <c r="C94" s="37"/>
      <c r="D94" s="43"/>
      <c r="E94" s="37"/>
      <c r="G94" s="35"/>
      <c r="H94" s="43"/>
      <c r="I94" s="37"/>
      <c r="J94" s="43"/>
      <c r="K94" s="37"/>
      <c r="L94" s="40"/>
      <c r="M94" s="35"/>
      <c r="N94" s="43"/>
      <c r="O94" s="43"/>
      <c r="P94" s="43"/>
      <c r="Q94" s="44"/>
      <c r="S94" s="35"/>
      <c r="T94" s="43"/>
      <c r="U94" s="43"/>
      <c r="V94" s="43"/>
      <c r="W94" s="44"/>
      <c r="Y94" s="35"/>
      <c r="Z94" s="43"/>
      <c r="AA94" s="43"/>
      <c r="AB94" s="43"/>
      <c r="AC94" s="44"/>
      <c r="AE94" s="35"/>
      <c r="AF94" s="43"/>
      <c r="AG94" s="43"/>
      <c r="AH94" s="43"/>
      <c r="AI94" s="44"/>
      <c r="AK94" s="35"/>
      <c r="AL94" s="43"/>
      <c r="AM94" s="43"/>
      <c r="AN94" s="43"/>
      <c r="AO94" s="44"/>
      <c r="AP94" s="64"/>
      <c r="AQ94" s="35"/>
      <c r="AR94" s="43"/>
      <c r="AS94" s="45"/>
      <c r="AT94" s="43"/>
      <c r="AU94" s="45"/>
      <c r="AW94" s="40"/>
      <c r="AX94" s="35"/>
      <c r="AY94" s="43"/>
      <c r="AZ94" s="43"/>
      <c r="BA94" s="43"/>
      <c r="BB94" s="44"/>
    </row>
    <row r="95" spans="1:54" x14ac:dyDescent="0.35">
      <c r="A95" s="35"/>
      <c r="B95" s="43"/>
      <c r="C95" s="37"/>
      <c r="D95" s="43"/>
      <c r="E95" s="37"/>
      <c r="G95" s="35"/>
      <c r="H95" s="43"/>
      <c r="I95" s="37"/>
      <c r="J95" s="43"/>
      <c r="K95" s="37"/>
      <c r="L95" s="40"/>
      <c r="M95" s="35"/>
      <c r="N95" s="43"/>
      <c r="O95" s="43"/>
      <c r="P95" s="43"/>
      <c r="Q95" s="44"/>
      <c r="S95" s="35"/>
      <c r="T95" s="43"/>
      <c r="U95" s="43"/>
      <c r="V95" s="43"/>
      <c r="W95" s="44"/>
      <c r="Y95" s="35"/>
      <c r="Z95" s="43"/>
      <c r="AA95" s="43"/>
      <c r="AB95" s="43"/>
      <c r="AC95" s="44"/>
      <c r="AE95" s="35"/>
      <c r="AF95" s="43"/>
      <c r="AG95" s="43"/>
      <c r="AH95" s="43"/>
      <c r="AI95" s="44"/>
      <c r="AK95" s="35"/>
      <c r="AL95" s="43"/>
      <c r="AM95" s="43"/>
      <c r="AN95" s="43"/>
      <c r="AO95" s="44"/>
      <c r="AP95" s="64"/>
      <c r="AQ95" s="35"/>
      <c r="AR95" s="43"/>
      <c r="AS95" s="45"/>
      <c r="AT95" s="43"/>
      <c r="AU95" s="45"/>
      <c r="AW95" s="40"/>
      <c r="AX95" s="35"/>
      <c r="AY95" s="43"/>
      <c r="AZ95" s="43"/>
      <c r="BA95" s="43"/>
      <c r="BB95" s="44"/>
    </row>
    <row r="96" spans="1:54" x14ac:dyDescent="0.35">
      <c r="A96" s="35"/>
      <c r="B96" s="43"/>
      <c r="C96" s="37"/>
      <c r="D96" s="43"/>
      <c r="E96" s="37"/>
      <c r="G96" s="35"/>
      <c r="H96" s="43"/>
      <c r="I96" s="37"/>
      <c r="J96" s="43"/>
      <c r="K96" s="37"/>
      <c r="L96" s="40"/>
      <c r="M96" s="35"/>
      <c r="N96" s="43"/>
      <c r="O96" s="43"/>
      <c r="P96" s="43"/>
      <c r="Q96" s="44"/>
      <c r="S96" s="35"/>
      <c r="T96" s="43"/>
      <c r="U96" s="43"/>
      <c r="V96" s="43"/>
      <c r="W96" s="44"/>
      <c r="Y96" s="35"/>
      <c r="Z96" s="43"/>
      <c r="AA96" s="43"/>
      <c r="AB96" s="43"/>
      <c r="AC96" s="44"/>
      <c r="AE96" s="35"/>
      <c r="AF96" s="43"/>
      <c r="AG96" s="43"/>
      <c r="AH96" s="43"/>
      <c r="AI96" s="44"/>
      <c r="AK96" s="35"/>
      <c r="AL96" s="43"/>
      <c r="AM96" s="43"/>
      <c r="AN96" s="43"/>
      <c r="AO96" s="44"/>
      <c r="AP96" s="64"/>
      <c r="AQ96" s="35"/>
      <c r="AR96" s="43"/>
      <c r="AS96" s="45"/>
      <c r="AT96" s="43"/>
      <c r="AU96" s="45"/>
      <c r="AW96" s="40"/>
      <c r="AX96" s="35"/>
      <c r="AY96" s="43"/>
      <c r="AZ96" s="43"/>
      <c r="BA96" s="43"/>
      <c r="BB96" s="44"/>
    </row>
    <row r="97" spans="1:54" x14ac:dyDescent="0.35">
      <c r="A97" s="35"/>
      <c r="B97" s="43"/>
      <c r="C97" s="37"/>
      <c r="D97" s="43"/>
      <c r="E97" s="37"/>
      <c r="G97" s="35"/>
      <c r="H97" s="43"/>
      <c r="I97" s="37"/>
      <c r="J97" s="43"/>
      <c r="K97" s="37"/>
      <c r="L97" s="40"/>
      <c r="M97" s="35"/>
      <c r="N97" s="43"/>
      <c r="O97" s="43"/>
      <c r="P97" s="43"/>
      <c r="Q97" s="44"/>
      <c r="S97" s="35"/>
      <c r="T97" s="43"/>
      <c r="U97" s="43"/>
      <c r="V97" s="43"/>
      <c r="W97" s="44"/>
      <c r="Y97" s="35"/>
      <c r="Z97" s="43"/>
      <c r="AA97" s="43"/>
      <c r="AB97" s="43"/>
      <c r="AC97" s="44"/>
      <c r="AE97" s="35"/>
      <c r="AF97" s="43"/>
      <c r="AG97" s="43"/>
      <c r="AH97" s="43"/>
      <c r="AI97" s="44"/>
      <c r="AK97" s="35"/>
      <c r="AL97" s="43"/>
      <c r="AM97" s="43"/>
      <c r="AN97" s="43"/>
      <c r="AO97" s="44"/>
      <c r="AP97" s="64"/>
      <c r="AQ97" s="35"/>
      <c r="AR97" s="43"/>
      <c r="AS97" s="45"/>
      <c r="AT97" s="43"/>
      <c r="AU97" s="45"/>
      <c r="AW97" s="40"/>
      <c r="AX97" s="35"/>
      <c r="AY97" s="43"/>
      <c r="AZ97" s="43"/>
      <c r="BA97" s="43"/>
      <c r="BB97" s="44"/>
    </row>
    <row r="98" spans="1:54" x14ac:dyDescent="0.35">
      <c r="A98" s="35"/>
      <c r="B98" s="43"/>
      <c r="C98" s="37"/>
      <c r="D98" s="43"/>
      <c r="E98" s="37"/>
      <c r="G98" s="35"/>
      <c r="H98" s="43"/>
      <c r="I98" s="37"/>
      <c r="J98" s="43"/>
      <c r="K98" s="37"/>
      <c r="L98" s="40"/>
      <c r="M98" s="35"/>
      <c r="N98" s="43"/>
      <c r="O98" s="43"/>
      <c r="P98" s="43"/>
      <c r="Q98" s="44"/>
      <c r="S98" s="35"/>
      <c r="T98" s="43"/>
      <c r="U98" s="43"/>
      <c r="V98" s="43"/>
      <c r="W98" s="44"/>
      <c r="Y98" s="35"/>
      <c r="Z98" s="43"/>
      <c r="AA98" s="43"/>
      <c r="AB98" s="43"/>
      <c r="AC98" s="44"/>
      <c r="AE98" s="35"/>
      <c r="AF98" s="43"/>
      <c r="AG98" s="43"/>
      <c r="AH98" s="43"/>
      <c r="AI98" s="44"/>
      <c r="AK98" s="35"/>
      <c r="AL98" s="43"/>
      <c r="AM98" s="43"/>
      <c r="AN98" s="43"/>
      <c r="AO98" s="44"/>
      <c r="AP98" s="64"/>
      <c r="AQ98" s="35"/>
      <c r="AR98" s="43"/>
      <c r="AS98" s="45"/>
      <c r="AT98" s="43"/>
      <c r="AU98" s="45"/>
      <c r="AW98" s="40"/>
      <c r="AX98" s="35"/>
      <c r="AY98" s="43"/>
      <c r="AZ98" s="43"/>
      <c r="BA98" s="43"/>
      <c r="BB98" s="44"/>
    </row>
    <row r="99" spans="1:54" x14ac:dyDescent="0.35">
      <c r="A99" s="35"/>
      <c r="B99" s="43"/>
      <c r="C99" s="37"/>
      <c r="D99" s="43"/>
      <c r="E99" s="37"/>
      <c r="G99" s="35"/>
      <c r="H99" s="43"/>
      <c r="I99" s="37"/>
      <c r="J99" s="43"/>
      <c r="K99" s="37"/>
      <c r="L99" s="40"/>
      <c r="M99" s="35"/>
      <c r="N99" s="43"/>
      <c r="O99" s="43"/>
      <c r="P99" s="43"/>
      <c r="Q99" s="44"/>
      <c r="S99" s="35"/>
      <c r="T99" s="43"/>
      <c r="U99" s="43"/>
      <c r="V99" s="43"/>
      <c r="W99" s="44"/>
      <c r="Y99" s="35"/>
      <c r="Z99" s="43"/>
      <c r="AA99" s="43"/>
      <c r="AB99" s="43"/>
      <c r="AC99" s="44"/>
      <c r="AE99" s="35"/>
      <c r="AF99" s="43"/>
      <c r="AG99" s="43"/>
      <c r="AH99" s="43"/>
      <c r="AI99" s="44"/>
      <c r="AK99" s="35"/>
      <c r="AL99" s="43"/>
      <c r="AM99" s="43"/>
      <c r="AN99" s="43"/>
      <c r="AO99" s="44"/>
      <c r="AP99" s="64"/>
      <c r="AQ99" s="35"/>
      <c r="AR99" s="43"/>
      <c r="AS99" s="45"/>
      <c r="AT99" s="43"/>
      <c r="AU99" s="45"/>
      <c r="AW99" s="40"/>
      <c r="AX99" s="35"/>
      <c r="AY99" s="43"/>
      <c r="AZ99" s="43"/>
      <c r="BA99" s="43"/>
      <c r="BB99" s="44"/>
    </row>
    <row r="100" spans="1:54" x14ac:dyDescent="0.35">
      <c r="A100" s="35"/>
      <c r="B100" s="43"/>
      <c r="C100" s="37"/>
      <c r="D100" s="43"/>
      <c r="E100" s="37"/>
      <c r="G100" s="35"/>
      <c r="H100" s="43"/>
      <c r="I100" s="37"/>
      <c r="J100" s="43"/>
      <c r="K100" s="37"/>
      <c r="L100" s="40"/>
      <c r="M100" s="35"/>
      <c r="N100" s="43"/>
      <c r="O100" s="43"/>
      <c r="P100" s="43"/>
      <c r="Q100" s="44"/>
      <c r="S100" s="35"/>
      <c r="T100" s="43"/>
      <c r="U100" s="43"/>
      <c r="V100" s="43"/>
      <c r="W100" s="44"/>
      <c r="Y100" s="35"/>
      <c r="Z100" s="43"/>
      <c r="AA100" s="43"/>
      <c r="AB100" s="43"/>
      <c r="AC100" s="44"/>
      <c r="AE100" s="35"/>
      <c r="AF100" s="43"/>
      <c r="AG100" s="43"/>
      <c r="AH100" s="43"/>
      <c r="AI100" s="44"/>
      <c r="AK100" s="35"/>
      <c r="AL100" s="43"/>
      <c r="AM100" s="43"/>
      <c r="AN100" s="43"/>
      <c r="AO100" s="44"/>
      <c r="AP100" s="64"/>
      <c r="AQ100" s="35"/>
      <c r="AR100" s="43"/>
      <c r="AS100" s="45"/>
      <c r="AT100" s="43"/>
      <c r="AU100" s="45"/>
      <c r="AW100" s="40"/>
      <c r="AX100" s="35"/>
      <c r="AY100" s="43"/>
      <c r="AZ100" s="43"/>
      <c r="BA100" s="43"/>
      <c r="BB100" s="44"/>
    </row>
    <row r="101" spans="1:54" x14ac:dyDescent="0.35">
      <c r="A101" s="35"/>
      <c r="B101" s="43"/>
      <c r="C101" s="37"/>
      <c r="D101" s="43"/>
      <c r="E101" s="37"/>
      <c r="G101" s="35"/>
      <c r="H101" s="43"/>
      <c r="I101" s="37"/>
      <c r="J101" s="43"/>
      <c r="K101" s="37"/>
      <c r="L101" s="40"/>
      <c r="M101" s="35"/>
      <c r="N101" s="43"/>
      <c r="O101" s="43"/>
      <c r="P101" s="43"/>
      <c r="Q101" s="44"/>
      <c r="S101" s="35"/>
      <c r="T101" s="43"/>
      <c r="U101" s="43"/>
      <c r="V101" s="43"/>
      <c r="W101" s="44"/>
      <c r="Y101" s="35"/>
      <c r="Z101" s="43"/>
      <c r="AA101" s="43"/>
      <c r="AB101" s="43"/>
      <c r="AC101" s="44"/>
      <c r="AE101" s="35"/>
      <c r="AF101" s="43"/>
      <c r="AG101" s="43"/>
      <c r="AH101" s="43"/>
      <c r="AI101" s="44"/>
      <c r="AK101" s="35"/>
      <c r="AL101" s="43"/>
      <c r="AM101" s="43"/>
      <c r="AN101" s="43"/>
      <c r="AO101" s="44"/>
      <c r="AP101" s="64"/>
      <c r="AQ101" s="35"/>
      <c r="AR101" s="43"/>
      <c r="AS101" s="45"/>
      <c r="AT101" s="43"/>
      <c r="AU101" s="45"/>
      <c r="AW101" s="40"/>
      <c r="AX101" s="35"/>
      <c r="AY101" s="43"/>
      <c r="AZ101" s="43"/>
      <c r="BA101" s="43"/>
      <c r="BB101" s="44"/>
    </row>
    <row r="102" spans="1:54" x14ac:dyDescent="0.35">
      <c r="A102" s="35"/>
      <c r="B102" s="43"/>
      <c r="C102" s="37"/>
      <c r="D102" s="43"/>
      <c r="E102" s="37"/>
      <c r="G102" s="35"/>
      <c r="H102" s="43"/>
      <c r="I102" s="37"/>
      <c r="J102" s="43"/>
      <c r="K102" s="37"/>
      <c r="L102" s="40"/>
      <c r="M102" s="35"/>
      <c r="N102" s="43"/>
      <c r="O102" s="43"/>
      <c r="P102" s="43"/>
      <c r="Q102" s="44"/>
      <c r="S102" s="35"/>
      <c r="T102" s="43"/>
      <c r="U102" s="43"/>
      <c r="V102" s="43"/>
      <c r="W102" s="44"/>
      <c r="Y102" s="35"/>
      <c r="Z102" s="43"/>
      <c r="AA102" s="43"/>
      <c r="AB102" s="43"/>
      <c r="AC102" s="44"/>
      <c r="AE102" s="35"/>
      <c r="AF102" s="43"/>
      <c r="AG102" s="43"/>
      <c r="AH102" s="43"/>
      <c r="AI102" s="44"/>
      <c r="AK102" s="35"/>
      <c r="AL102" s="43"/>
      <c r="AM102" s="43"/>
      <c r="AN102" s="43"/>
      <c r="AO102" s="44"/>
      <c r="AP102" s="64"/>
      <c r="AQ102" s="35"/>
      <c r="AR102" s="43"/>
      <c r="AS102" s="45"/>
      <c r="AT102" s="43"/>
      <c r="AU102" s="45"/>
      <c r="AW102" s="40"/>
      <c r="AX102" s="35"/>
      <c r="AY102" s="43"/>
      <c r="AZ102" s="43"/>
      <c r="BA102" s="43"/>
      <c r="BB102" s="44"/>
    </row>
    <row r="103" spans="1:54" x14ac:dyDescent="0.35">
      <c r="A103" s="46"/>
      <c r="B103" s="47"/>
      <c r="C103" s="37"/>
      <c r="D103" s="48"/>
      <c r="E103" s="37"/>
      <c r="G103" s="46"/>
      <c r="H103" s="47"/>
      <c r="I103" s="37"/>
      <c r="J103" s="48"/>
      <c r="K103" s="37"/>
      <c r="L103" s="40"/>
      <c r="M103" s="46"/>
      <c r="N103" s="47"/>
      <c r="O103" s="48"/>
      <c r="P103" s="48"/>
      <c r="Q103" s="47"/>
      <c r="S103" s="46"/>
      <c r="T103" s="47"/>
      <c r="U103" s="48"/>
      <c r="V103" s="48"/>
      <c r="W103" s="47"/>
      <c r="Y103" s="46"/>
      <c r="Z103" s="47"/>
      <c r="AA103" s="48"/>
      <c r="AB103" s="48"/>
      <c r="AC103" s="47"/>
      <c r="AE103" s="46"/>
      <c r="AF103" s="47"/>
      <c r="AG103" s="48"/>
      <c r="AH103" s="48"/>
      <c r="AI103" s="47"/>
      <c r="AK103" s="46"/>
      <c r="AL103" s="47"/>
      <c r="AM103" s="48"/>
      <c r="AN103" s="48"/>
      <c r="AO103" s="47"/>
      <c r="AP103" s="64"/>
      <c r="AQ103" s="46"/>
      <c r="AR103" s="47"/>
      <c r="AS103" s="45"/>
      <c r="AT103" s="48"/>
      <c r="AU103" s="45"/>
      <c r="AW103" s="40"/>
      <c r="AX103" s="46"/>
      <c r="AY103" s="47"/>
      <c r="AZ103" s="48"/>
      <c r="BA103" s="48"/>
      <c r="BB103" s="47"/>
    </row>
    <row r="104" spans="1:54" x14ac:dyDescent="0.35">
      <c r="C104" s="37"/>
      <c r="E104" s="37"/>
      <c r="I104" s="37"/>
      <c r="K104" s="37"/>
      <c r="L104" s="40"/>
      <c r="AP104" s="64"/>
      <c r="AS104" s="45"/>
      <c r="AU104" s="45"/>
      <c r="AW104" s="40"/>
    </row>
  </sheetData>
  <mergeCells count="35">
    <mergeCell ref="AX2:BB2"/>
    <mergeCell ref="B3:C3"/>
    <mergeCell ref="D3:E3"/>
    <mergeCell ref="H3:I3"/>
    <mergeCell ref="J3:K3"/>
    <mergeCell ref="N3:O3"/>
    <mergeCell ref="P3:Q3"/>
    <mergeCell ref="T3:U3"/>
    <mergeCell ref="V3:W3"/>
    <mergeCell ref="Z3:AA3"/>
    <mergeCell ref="AT3:AU3"/>
    <mergeCell ref="AY3:AZ3"/>
    <mergeCell ref="BA3:BB3"/>
    <mergeCell ref="AB3:AC3"/>
    <mergeCell ref="AF3:AG3"/>
    <mergeCell ref="AH3:AI3"/>
    <mergeCell ref="AK1:AO1"/>
    <mergeCell ref="AQ1:AU1"/>
    <mergeCell ref="AE2:AI2"/>
    <mergeCell ref="AK2:AO2"/>
    <mergeCell ref="AQ2:AU2"/>
    <mergeCell ref="AE1:AI1"/>
    <mergeCell ref="AL3:AM3"/>
    <mergeCell ref="AN3:AO3"/>
    <mergeCell ref="AR3:AS3"/>
    <mergeCell ref="A2:E2"/>
    <mergeCell ref="G2:K2"/>
    <mergeCell ref="M2:Q2"/>
    <mergeCell ref="S2:W2"/>
    <mergeCell ref="Y2:AC2"/>
    <mergeCell ref="A1:E1"/>
    <mergeCell ref="G1:K1"/>
    <mergeCell ref="M1:Q1"/>
    <mergeCell ref="S1:W1"/>
    <mergeCell ref="Y1:AC1"/>
  </mergeCells>
  <pageMargins left="0.7" right="0.7" top="0.75" bottom="0.75" header="0.3" footer="0.3"/>
  <headerFooter>
    <oddFooter>&amp;C_x000D_&amp;1#&amp;"Calibri"&amp;10&amp;K008000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Perbandingan Fitur</vt:lpstr>
      <vt:lpstr>Heritage+ vs PRUInfinity</vt:lpstr>
      <vt:lpstr>Heritage+ vs Sun 100</vt:lpstr>
      <vt:lpstr>Heritage+ vs X-tra Proteksi War</vt:lpstr>
      <vt:lpstr>Heritage+ vs Manu Prime</vt:lpstr>
      <vt:lpstr>Heritage+ vs MDLA</vt:lpstr>
      <vt:lpstr>Heritage+ vs AIA WPP (Non LB)</vt:lpstr>
      <vt:lpstr>Heritage+ vs AIA WPP (LB)</vt:lpstr>
      <vt:lpstr>Heritage+ vs AlliSya Legacy</vt:lpstr>
      <vt:lpstr>Premi H+ 2 bio</vt:lpstr>
      <vt:lpstr>Premi H+ 500 mio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Putri Anindya Sugiarti</dc:creator>
  <cp:lastModifiedBy>Putri Anindya Sugiarti</cp:lastModifiedBy>
  <dcterms:created xsi:type="dcterms:W3CDTF">2025-11-03T06:35:16Z</dcterms:created>
  <dcterms:modified xsi:type="dcterms:W3CDTF">2026-04-10T11:05:30Z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095407-d065-4278-bf6c-9e9ec1ab0c69_Enabled">
    <vt:lpwstr>true</vt:lpwstr>
  </property>
  <property fmtid="{D5CDD505-2E9C-101B-9397-08002B2CF9AE}" pid="3" name="MSIP_Label_15095407-d065-4278-bf6c-9e9ec1ab0c69_SetDate">
    <vt:lpwstr>2025-11-03T07:07:53Z</vt:lpwstr>
  </property>
  <property fmtid="{D5CDD505-2E9C-101B-9397-08002B2CF9AE}" pid="4" name="MSIP_Label_15095407-d065-4278-bf6c-9e9ec1ab0c69_Method">
    <vt:lpwstr>Privileged</vt:lpwstr>
  </property>
  <property fmtid="{D5CDD505-2E9C-101B-9397-08002B2CF9AE}" pid="5" name="MSIP_Label_15095407-d065-4278-bf6c-9e9ec1ab0c69_Name">
    <vt:lpwstr>Internal</vt:lpwstr>
  </property>
  <property fmtid="{D5CDD505-2E9C-101B-9397-08002B2CF9AE}" pid="6" name="MSIP_Label_15095407-d065-4278-bf6c-9e9ec1ab0c69_SiteId">
    <vt:lpwstr>6a3d12e7-c354-4e3f-8275-1ffefa20b9ed</vt:lpwstr>
  </property>
  <property fmtid="{D5CDD505-2E9C-101B-9397-08002B2CF9AE}" pid="7" name="MSIP_Label_15095407-d065-4278-bf6c-9e9ec1ab0c69_ActionId">
    <vt:lpwstr>4eeda37b-ae76-46f2-94c7-eb73e3fee957</vt:lpwstr>
  </property>
  <property fmtid="{D5CDD505-2E9C-101B-9397-08002B2CF9AE}" pid="8" name="MSIP_Label_15095407-d065-4278-bf6c-9e9ec1ab0c69_ContentBits">
    <vt:lpwstr>2</vt:lpwstr>
  </property>
  <property fmtid="{D5CDD505-2E9C-101B-9397-08002B2CF9AE}" pid="9" name="MSIP_Label_15095407-d065-4278-bf6c-9e9ec1ab0c69_Tag">
    <vt:lpwstr>10, 0, 1, 1</vt:lpwstr>
  </property>
</Properties>
</file>